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 Extract" sheetId="1" state="visible" r:id="rId3"/>
    <sheet name="SP-01 Burndown" sheetId="2" state="visible" r:id="rId4"/>
    <sheet name="SP-02 Burndown" sheetId="3" state="visible" r:id="rId5"/>
    <sheet name="SP-03 Burndown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<sst xmlns="http://schemas.openxmlformats.org/spreadsheetml/2006/main" count="218" uniqueCount="124">
  <si>
    <t xml:space="preserve">Sprint ID</t>
  </si>
  <si>
    <t xml:space="preserve">Task ID</t>
  </si>
  <si>
    <t xml:space="preserve">Task Description</t>
  </si>
  <si>
    <t xml:space="preserve">Estimated Effort (Hours)</t>
  </si>
  <si>
    <t xml:space="preserve">Status</t>
  </si>
  <si>
    <t xml:space="preserve">SP-01</t>
  </si>
  <si>
    <t xml:space="preserve">T-101</t>
  </si>
  <si>
    <t xml:space="preserve">Design DDL for users, patients, doctors, departments, rooms, appointments, payments</t>
  </si>
  <si>
    <t xml:space="preserve">Done</t>
  </si>
  <si>
    <t xml:space="preserve">T-102</t>
  </si>
  <si>
    <t xml:space="preserve">Add Postgres EXCLUDE constraints for doctor and room overlap</t>
  </si>
  <si>
    <t xml:space="preserve">T-103</t>
  </si>
  <si>
    <t xml:space="preserve">Create JPA entities with Hibernate Validator annotations</t>
  </si>
  <si>
    <t xml:space="preserve">T-104</t>
  </si>
  <si>
    <t xml:space="preserve">Registration API with unique email check</t>
  </si>
  <si>
    <t xml:space="preserve">T-105</t>
  </si>
  <si>
    <t xml:space="preserve">Registration form with confirm password and strong password rules</t>
  </si>
  <si>
    <t xml:space="preserve">T-106</t>
  </si>
  <si>
    <t xml:space="preserve">JWT issue and validation filter</t>
  </si>
  <si>
    <t xml:space="preserve">T-107</t>
  </si>
  <si>
    <t xml:space="preserve">Spring Security config with role based URL rules</t>
  </si>
  <si>
    <t xml:space="preserve">T-108</t>
  </si>
  <si>
    <t xml:space="preserve">Angular auth service, token interceptor and route guards</t>
  </si>
  <si>
    <t xml:space="preserve">T-109</t>
  </si>
  <si>
    <t xml:space="preserve">Public doctor and department endpoints with search</t>
  </si>
  <si>
    <t xml:space="preserve">T-110</t>
  </si>
  <si>
    <t xml:space="preserve">Landing page with specialists and departments tables</t>
  </si>
  <si>
    <t xml:space="preserve">T-111</t>
  </si>
  <si>
    <t xml:space="preserve">DataSeeder with admin, 3 departments, 4 doctors, 4 rooms</t>
  </si>
  <si>
    <t xml:space="preserve">T-112</t>
  </si>
  <si>
    <t xml:space="preserve">Smoke test pack for auth and public endpoints</t>
  </si>
  <si>
    <t xml:space="preserve">SP-02</t>
  </si>
  <si>
    <t xml:space="preserve">T-201</t>
  </si>
  <si>
    <t xml:space="preserve">Slot generation from doctor availability and slot length</t>
  </si>
  <si>
    <t xml:space="preserve">T-202</t>
  </si>
  <si>
    <t xml:space="preserve">Slot picker UI with availability markers</t>
  </si>
  <si>
    <t xml:space="preserve">T-203</t>
  </si>
  <si>
    <t xml:space="preserve">Collision validation service for doctor overlap</t>
  </si>
  <si>
    <t xml:space="preserve">T-204</t>
  </si>
  <si>
    <t xml:space="preserve">Room occupancy validation and free-room endpoint</t>
  </si>
  <si>
    <t xml:space="preserve">T-205</t>
  </si>
  <si>
    <t xml:space="preserve">Concurrency test - two bookings for the same slot</t>
  </si>
  <si>
    <t xml:space="preserve">T-206</t>
  </si>
  <si>
    <t xml:space="preserve">Booking API returning PENDING appointment</t>
  </si>
  <si>
    <t xml:space="preserve">T-207</t>
  </si>
  <si>
    <t xml:space="preserve">Booking page with room preference and reason</t>
  </si>
  <si>
    <t xml:space="preserve">T-208</t>
  </si>
  <si>
    <t xml:space="preserve">Patient dashboard with appointment table and live status</t>
  </si>
  <si>
    <t xml:space="preserve">T-209</t>
  </si>
  <si>
    <t xml:space="preserve">PaymentService abstraction and pending payment on booking</t>
  </si>
  <si>
    <t xml:space="preserve">T-210</t>
  </si>
  <si>
    <t xml:space="preserve">Card payment endpoint - Luhn check, store last 4 digits only</t>
  </si>
  <si>
    <t xml:space="preserve">T-211</t>
  </si>
  <si>
    <t xml:space="preserve">Payment page with masked card input and terms checkbox</t>
  </si>
  <si>
    <t xml:space="preserve">T-212</t>
  </si>
  <si>
    <t xml:space="preserve">Printable receipt view with print stylesheet</t>
  </si>
  <si>
    <t xml:space="preserve">T-213</t>
  </si>
  <si>
    <t xml:space="preserve">Cancel flow with automatic refund and admin remark</t>
  </si>
  <si>
    <t xml:space="preserve">SP-03</t>
  </si>
  <si>
    <t xml:space="preserve">T-301</t>
  </si>
  <si>
    <t xml:space="preserve">Approve and reject endpoints with mandatory remarks</t>
  </si>
  <si>
    <t xml:space="preserve">T-302</t>
  </si>
  <si>
    <t xml:space="preserve">Request queue table with inline actions and room assignment</t>
  </si>
  <si>
    <t xml:space="preserve">T-303</t>
  </si>
  <si>
    <t xml:space="preserve">Admin CRUD endpoints and validation rules</t>
  </si>
  <si>
    <t xml:space="preserve">T-304</t>
  </si>
  <si>
    <t xml:space="preserve">Six-tab admin dashboard with forms and tables</t>
  </si>
  <si>
    <t xml:space="preserve">T-305</t>
  </si>
  <si>
    <t xml:space="preserve">Doctor years of experience field end to end</t>
  </si>
  <si>
    <t xml:space="preserve">T-306</t>
  </si>
  <si>
    <t xml:space="preserve">Search bars - appointment ID/date, doctor ID/specialty, patient ID/date</t>
  </si>
  <si>
    <t xml:space="preserve">T-307</t>
  </si>
  <si>
    <t xml:space="preserve">Bulk delete endpoints and multi-select tables</t>
  </si>
  <si>
    <t xml:space="preserve">T-308</t>
  </si>
  <si>
    <t xml:space="preserve">Patient status field with auto-discharge rule</t>
  </si>
  <si>
    <t xml:space="preserve">T-309</t>
  </si>
  <si>
    <t xml:space="preserve">Status column with admit and discharge actions</t>
  </si>
  <si>
    <t xml:space="preserve">T-310</t>
  </si>
  <si>
    <t xml:space="preserve">Global exception handler and error flattening</t>
  </si>
  <si>
    <t xml:space="preserve">T-311</t>
  </si>
  <si>
    <t xml:space="preserve">Popup service for success and error dialogs</t>
  </si>
  <si>
    <t xml:space="preserve">T-312</t>
  </si>
  <si>
    <t xml:space="preserve">Native CSS theme, logo and navbar with home button</t>
  </si>
  <si>
    <t xml:space="preserve">T-313</t>
  </si>
  <si>
    <t xml:space="preserve">Responsive checks and print stylesheet QA</t>
  </si>
  <si>
    <t xml:space="preserve">T-314</t>
  </si>
  <si>
    <t xml:space="preserve">Regression pass across all roles</t>
  </si>
  <si>
    <t xml:space="preserve">T-315</t>
  </si>
  <si>
    <t xml:space="preserve">README, user manual and flowchart pack</t>
  </si>
  <si>
    <t xml:space="preserve">Source: SprintBacklog.xlsx &gt; 'Sprint Backlog' sheet (columns Sprint ID, Task ID, Task Description, Estimated Effort, Status), copied here so this workbook has no external links. Re-copy after changing the backlog.</t>
  </si>
  <si>
    <t xml:space="preserve">Sprint 1 - Foundation &amp; Authentication - Burndown Chart</t>
  </si>
  <si>
    <t xml:space="preserve">Sprint window: 2026-06-01 to 2026-06-12</t>
  </si>
  <si>
    <t xml:space="preserve">Total committed effort (h)</t>
  </si>
  <si>
    <t xml:space="preserve">Sprint length (working days)</t>
  </si>
  <si>
    <t xml:space="preserve">Ideal burn rate (h/day)</t>
  </si>
  <si>
    <t xml:space="preserve">Sprint Day</t>
  </si>
  <si>
    <t xml:space="preserve">Ideal Remaining (h)</t>
  </si>
  <si>
    <t xml:space="preserve">Effort Completed (h)</t>
  </si>
  <si>
    <t xml:space="preserve">Actual Remaining (h)</t>
  </si>
  <si>
    <t xml:space="preserve">Total</t>
  </si>
  <si>
    <t xml:space="preserve">Blue figures in 'Effort Completed' are the only inputs - they come from the daily stand-up. Ideal and Actual Remaining are formulas; the ideal line drops by the burn rate in B6 each day, the actual line subtracts the effort actually closed.</t>
  </si>
  <si>
    <t xml:space="preserve">Sprint 2 - Booking, Collision &amp; Payment - Burndown Chart</t>
  </si>
  <si>
    <t xml:space="preserve">Sprint window: 2026-06-15 to 2026-06-26</t>
  </si>
  <si>
    <t xml:space="preserve">Sprint 3 - Admin Console, Search &amp; UI - Burndown Chart</t>
  </si>
  <si>
    <t xml:space="preserve">Sprint window: 2026-06-29 to 2026-07-10</t>
  </si>
  <si>
    <t xml:space="preserve">Burndown Chart - how to read it</t>
  </si>
  <si>
    <t xml:space="preserve">Axes</t>
  </si>
  <si>
    <t xml:space="preserve">X-axis = sprint day (0 to 10 working days). Y-axis = remaining effort in hours.</t>
  </si>
  <si>
    <t xml:space="preserve">Ideal Burn Line</t>
  </si>
  <si>
    <t xml:space="preserve">Grey dashed line. Straight drop from the committed total to zero at an even burn rate (total effort / sprint length).</t>
  </si>
  <si>
    <t xml:space="preserve">Actual Burn Line</t>
  </si>
  <si>
    <t xml:space="preserve">Solid blue line. Committed total minus the effort actually closed each day, taken from the daily stand-up.</t>
  </si>
  <si>
    <t xml:space="preserve">Data source</t>
  </si>
  <si>
    <t xml:space="preserve">'Sprint Backlog Extract' sheet, copied from SprintBacklog.xlsx. Sprint totals are SUMIFS over that extract, so no figure is typed twice.</t>
  </si>
  <si>
    <t xml:space="preserve">Above the ideal line</t>
  </si>
  <si>
    <t xml:space="preserve">The team is behind - scope or impediments need attention at stand-up.</t>
  </si>
  <si>
    <t xml:space="preserve">Below the ideal line</t>
  </si>
  <si>
    <t xml:space="preserve">The team is ahead - capacity may be free for backlog items pulled forward.</t>
  </si>
  <si>
    <t xml:space="preserve">Sprint 1 reading</t>
  </si>
  <si>
    <t xml:space="preserve">Started flat (day 1 spent on schema design with nothing closable), then recovered and finished on plan.</t>
  </si>
  <si>
    <t xml:space="preserve">Sprint 2 reading</t>
  </si>
  <si>
    <t xml:space="preserve">Tracked close to ideal; the collision-concurrency test on days 4-5 cost more than estimated but was absorbed.</t>
  </si>
  <si>
    <t xml:space="preserve">Sprint 3 reading</t>
  </si>
  <si>
    <t xml:space="preserve">Fastest sprint - the admin console reused patterns already built, so the actual line stayed at or below ideal throughout.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</si>
</sst>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0B5C8A"/>
      <name val="Arial"/>
      <family val="0"/>
      <charset val="1"/>
    </font>
    <font>
      <i val="true"/>
      <sz val="10"/>
      <color rgb="FF5A71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C8A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4"/>
      </left>
      <right style="thin">
        <color rgb="FFB7C9D4"/>
      </right>
      <top style="thin">
        <color rgb="FFB7C9D4"/>
      </top>
      <bottom style="thin">
        <color rgb="FFB7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4"/>
      <rgbColor rgb="FF878787"/>
      <rgbColor rgb="FF9999FF"/>
      <rgbColor rgb="FF993366"/>
      <rgbColor rgb="FFFFF2CC"/>
      <rgbColor rgb="FFCCFFFF"/>
      <rgbColor rgb="FF660066"/>
      <rgbColor rgb="FFFF8080"/>
      <rgbColor rgb="FF0B5C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B6C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1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SP-01 Burndown - Ideal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'SP-01 Burndown'!B8</c:f>
              <c:strCache>
                <c:ptCount val="1"/>
                <c:pt idx="0">
                  <c:v>Ideal Remaining (h)</c:v>
                </c:pt>
              </c:strCache>
            </c:strRef>
          </c:tx>
          <c:spPr>
            <a:solidFill>
              <a:srgbClr val="9fb6c4"/>
            </a:solidFill>
            <a:ln w="21960">
              <a:solidFill>
                <a:srgbClr val="9fb6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'SP-01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'SP-01 Burndown'!$B$9:$B$19</c:f>
              <c:numCache>
                <c:formatCode>0.0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'SP-01 Burndown'!D8</c:f>
              <c:strCache>
                <c:ptCount val="1"/>
                <c:pt idx="0">
                  <c:v>Actual Remaining (h)</c:v>
                </c:pt>
              </c:strCache>
            </c:strRef>
          </c:tx>
          <c:spPr>
            <a:solidFill>
              <a:srgbClr val="0b5c8a"/>
            </a:solidFill>
            <a:ln w="28080">
              <a:solidFill>
                <a:srgbClr val="0b5c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'SP-01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'SP-01 Burndown'!$D$9:$D$19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94</c:v>
                </c:pt>
                <c:pt idx="3">
                  <c:v>84</c:v>
                </c:pt>
                <c:pt idx="4">
                  <c:v>72</c:v>
                </c:pt>
                <c:pt idx="5">
                  <c:v>64</c:v>
                </c:pt>
                <c:pt idx="6">
                  <c:v>60</c:v>
                </c:pt>
                <c:pt idx="7">
                  <c:v>48</c:v>
                </c:pt>
                <c:pt idx="8">
                  <c:v>34</c:v>
                </c:pt>
                <c:pt idx="9">
                  <c:v>18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150075"/>
        <c:axId val="14114650"/>
      </c:lineChart>
      <c:catAx>
        <c:axId val="49150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4650"/>
        <c:crosses val="autoZero"/>
        <c:auto val="1"/>
        <c:lblAlgn val="ctr"/>
        <c:lblOffset val="100"/>
        <c:noMultiLvlLbl val="0"/>
      </c:catAx>
      <c:valAx>
        <c:axId val="14114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Remaining Effort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0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SP-02 Burndown - Ideal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'SP-02 Burndown'!B8</c:f>
              <c:strCache>
                <c:ptCount val="1"/>
                <c:pt idx="0">
                  <c:v>Ideal Remaining (h)</c:v>
                </c:pt>
              </c:strCache>
            </c:strRef>
          </c:tx>
          <c:spPr>
            <a:solidFill>
              <a:srgbClr val="9fb6c4"/>
            </a:solidFill>
            <a:ln w="21960">
              <a:solidFill>
                <a:srgbClr val="9fb6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'SP-02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'SP-02 Burndown'!$B$9:$B$19</c:f>
              <c:numCache>
                <c:formatCode>0.0</c:formatCode>
                <c:ptCount val="11"/>
                <c:pt idx="0">
                  <c:v>114</c:v>
                </c:pt>
                <c:pt idx="1">
                  <c:v>102.6</c:v>
                </c:pt>
                <c:pt idx="2">
                  <c:v>91.2</c:v>
                </c:pt>
                <c:pt idx="3">
                  <c:v>79.8</c:v>
                </c:pt>
                <c:pt idx="4">
                  <c:v>68.4</c:v>
                </c:pt>
                <c:pt idx="5">
                  <c:v>57</c:v>
                </c:pt>
                <c:pt idx="6">
                  <c:v>45.6</c:v>
                </c:pt>
                <c:pt idx="7">
                  <c:v>34.2</c:v>
                </c:pt>
                <c:pt idx="8">
                  <c:v>22.8</c:v>
                </c:pt>
                <c:pt idx="9">
                  <c:v>11.4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'SP-02 Burndown'!D8</c:f>
              <c:strCache>
                <c:ptCount val="1"/>
                <c:pt idx="0">
                  <c:v>Actual Remaining (h)</c:v>
                </c:pt>
              </c:strCache>
            </c:strRef>
          </c:tx>
          <c:spPr>
            <a:solidFill>
              <a:srgbClr val="0b5c8a"/>
            </a:solidFill>
            <a:ln w="28080">
              <a:solidFill>
                <a:srgbClr val="0b5c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'SP-02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'SP-02 Burndown'!$D$9:$D$19</c:f>
              <c:numCache>
                <c:formatCode>0.0</c:formatCode>
                <c:ptCount val="11"/>
                <c:pt idx="0">
                  <c:v>114</c:v>
                </c:pt>
                <c:pt idx="1">
                  <c:v>110</c:v>
                </c:pt>
                <c:pt idx="2">
                  <c:v>102</c:v>
                </c:pt>
                <c:pt idx="3">
                  <c:v>90</c:v>
                </c:pt>
                <c:pt idx="4">
                  <c:v>76</c:v>
                </c:pt>
                <c:pt idx="5">
                  <c:v>66</c:v>
                </c:pt>
                <c:pt idx="6">
                  <c:v>60</c:v>
                </c:pt>
                <c:pt idx="7">
                  <c:v>46</c:v>
                </c:pt>
                <c:pt idx="8">
                  <c:v>30</c:v>
                </c:pt>
                <c:pt idx="9">
                  <c:v>16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76507"/>
        <c:axId val="17090826"/>
      </c:lineChart>
      <c:catAx>
        <c:axId val="34476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90826"/>
        <c:crosses val="autoZero"/>
        <c:auto val="1"/>
        <c:lblAlgn val="ctr"/>
        <c:lblOffset val="100"/>
        <c:noMultiLvlLbl val="0"/>
      </c:catAx>
      <c:valAx>
        <c:axId val="17090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Remaining Effort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76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SP-03 Burndown - Ideal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'SP-03 Burndown'!B8</c:f>
              <c:strCache>
                <c:ptCount val="1"/>
                <c:pt idx="0">
                  <c:v>Ideal Remaining (h)</c:v>
                </c:pt>
              </c:strCache>
            </c:strRef>
          </c:tx>
          <c:spPr>
            <a:solidFill>
              <a:srgbClr val="9fb6c4"/>
            </a:solidFill>
            <a:ln w="21960">
              <a:solidFill>
                <a:srgbClr val="9fb6c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'SP-03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'SP-03 Burndown'!$B$9:$B$19</c:f>
              <c:numCache>
                <c:formatCode>0.0</c:formatCode>
                <c:ptCount val="11"/>
                <c:pt idx="0">
                  <c:v>124</c:v>
                </c:pt>
                <c:pt idx="1">
                  <c:v>111.6</c:v>
                </c:pt>
                <c:pt idx="2">
                  <c:v>99.2</c:v>
                </c:pt>
                <c:pt idx="3">
                  <c:v>86.8</c:v>
                </c:pt>
                <c:pt idx="4">
                  <c:v>74.4</c:v>
                </c:pt>
                <c:pt idx="5">
                  <c:v>62</c:v>
                </c:pt>
                <c:pt idx="6">
                  <c:v>49.6</c:v>
                </c:pt>
                <c:pt idx="7">
                  <c:v>37.2</c:v>
                </c:pt>
                <c:pt idx="8">
                  <c:v>24.8</c:v>
                </c:pt>
                <c:pt idx="9">
                  <c:v>12.4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'SP-03 Burndown'!D8</c:f>
              <c:strCache>
                <c:ptCount val="1"/>
                <c:pt idx="0">
                  <c:v>Actual Remaining (h)</c:v>
                </c:pt>
              </c:strCache>
            </c:strRef>
          </c:tx>
          <c:spPr>
            <a:solidFill>
              <a:srgbClr val="0b5c8a"/>
            </a:solidFill>
            <a:ln w="28080">
              <a:solidFill>
                <a:srgbClr val="0b5c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'SP-03 Burndown'!$A$9:$A$19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'SP-03 Burndown'!$D$9:$D$19</c:f>
              <c:numCache>
                <c:formatCode>0.0</c:formatCode>
                <c:ptCount val="11"/>
                <c:pt idx="0">
                  <c:v>124</c:v>
                </c:pt>
                <c:pt idx="1">
                  <c:v>118</c:v>
                </c:pt>
                <c:pt idx="2">
                  <c:v>108</c:v>
                </c:pt>
                <c:pt idx="3">
                  <c:v>94</c:v>
                </c:pt>
                <c:pt idx="4">
                  <c:v>78</c:v>
                </c:pt>
                <c:pt idx="5">
                  <c:v>66</c:v>
                </c:pt>
                <c:pt idx="6">
                  <c:v>58</c:v>
                </c:pt>
                <c:pt idx="7">
                  <c:v>44</c:v>
                </c:pt>
                <c:pt idx="8">
                  <c:v>28</c:v>
                </c:pt>
                <c:pt idx="9">
                  <c:v>14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636169"/>
        <c:axId val="36140777"/>
      </c:lineChart>
      <c:catAx>
        <c:axId val="11636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40777"/>
        <c:crosses val="autoZero"/>
        <c:auto val="1"/>
        <c:lblAlgn val="ctr"/>
        <c:lblOffset val="100"/>
        <c:noMultiLvlLbl val="0"/>
      </c:catAx>
      <c:valAx>
        <c:axId val="36140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Remaining Effort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36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175680</xdr:rowOff>
    </xdr:from>
    <xdr:to>
      <xdr:col>16</xdr:col>
      <xdr:colOff>113040</xdr:colOff>
      <xdr:row>23</xdr:row>
      <xdr:rowOff>166320</xdr:rowOff>
    </xdr:to>
    <xdr:graphicFrame>
      <xdr:nvGraphicFramePr>
        <xdr:cNvPr id="0" name="Chart 1"/>
        <xdr:cNvGraphicFramePr/>
      </xdr:nvGraphicFramePr>
      <xdr:xfrm>
        <a:off x="5897880" y="1333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175680</xdr:rowOff>
    </xdr:from>
    <xdr:to>
      <xdr:col>16</xdr:col>
      <xdr:colOff>113040</xdr:colOff>
      <xdr:row>23</xdr:row>
      <xdr:rowOff>166320</xdr:rowOff>
    </xdr:to>
    <xdr:graphicFrame>
      <xdr:nvGraphicFramePr>
        <xdr:cNvPr id="1" name="Chart 1"/>
        <xdr:cNvGraphicFramePr/>
      </xdr:nvGraphicFramePr>
      <xdr:xfrm>
        <a:off x="5897880" y="1333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175680</xdr:rowOff>
    </xdr:from>
    <xdr:to>
      <xdr:col>16</xdr:col>
      <xdr:colOff>113040</xdr:colOff>
      <xdr:row>23</xdr:row>
      <xdr:rowOff>166320</xdr:rowOff>
    </xdr:to>
    <xdr:graphicFrame>
      <xdr:nvGraphicFramePr>
        <xdr:cNvPr id="2" name="Chart 1"/>
        <xdr:cNvGraphicFramePr/>
      </xdr:nvGraphicFramePr>
      <xdr:xfrm>
        <a:off x="5897880" y="1333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n">
        <v>10</v>
      </c>
      <c r="E2" s="2" t="s">
        <v>8</v>
      </c>
    </row>
    <row r="3" customFormat="false" ht="15" hidden="false" customHeight="false" outlineLevel="0" collapsed="false">
      <c r="A3" s="2" t="s">
        <v>5</v>
      </c>
      <c r="B3" s="2" t="s">
        <v>9</v>
      </c>
      <c r="C3" s="2" t="s">
        <v>10</v>
      </c>
      <c r="D3" s="2" t="n">
        <v>6</v>
      </c>
      <c r="E3" s="2" t="s">
        <v>8</v>
      </c>
    </row>
    <row r="4" customFormat="false" ht="15" hidden="false" customHeight="false" outlineLevel="0" collapsed="false">
      <c r="A4" s="2" t="s">
        <v>5</v>
      </c>
      <c r="B4" s="2" t="s">
        <v>11</v>
      </c>
      <c r="C4" s="2" t="s">
        <v>12</v>
      </c>
      <c r="D4" s="2" t="n">
        <v>12</v>
      </c>
      <c r="E4" s="2" t="s">
        <v>8</v>
      </c>
    </row>
    <row r="5" customFormat="false" ht="15" hidden="false" customHeight="false" outlineLevel="0" collapsed="false">
      <c r="A5" s="2" t="s">
        <v>5</v>
      </c>
      <c r="B5" s="2" t="s">
        <v>13</v>
      </c>
      <c r="C5" s="2" t="s">
        <v>14</v>
      </c>
      <c r="D5" s="2" t="n">
        <v>8</v>
      </c>
      <c r="E5" s="2" t="s">
        <v>8</v>
      </c>
    </row>
    <row r="6" customFormat="false" ht="15" hidden="false" customHeight="false" outlineLevel="0" collapsed="false">
      <c r="A6" s="2" t="s">
        <v>5</v>
      </c>
      <c r="B6" s="2" t="s">
        <v>15</v>
      </c>
      <c r="C6" s="2" t="s">
        <v>16</v>
      </c>
      <c r="D6" s="2" t="n">
        <v>10</v>
      </c>
      <c r="E6" s="2" t="s">
        <v>8</v>
      </c>
    </row>
    <row r="7" customFormat="false" ht="15" hidden="false" customHeight="false" outlineLevel="0" collapsed="false">
      <c r="A7" s="2" t="s">
        <v>5</v>
      </c>
      <c r="B7" s="2" t="s">
        <v>17</v>
      </c>
      <c r="C7" s="2" t="s">
        <v>18</v>
      </c>
      <c r="D7" s="2" t="n">
        <v>10</v>
      </c>
      <c r="E7" s="2" t="s">
        <v>8</v>
      </c>
    </row>
    <row r="8" customFormat="false" ht="15" hidden="false" customHeight="false" outlineLevel="0" collapsed="false">
      <c r="A8" s="2" t="s">
        <v>5</v>
      </c>
      <c r="B8" s="2" t="s">
        <v>19</v>
      </c>
      <c r="C8" s="2" t="s">
        <v>20</v>
      </c>
      <c r="D8" s="2" t="n">
        <v>8</v>
      </c>
      <c r="E8" s="2" t="s">
        <v>8</v>
      </c>
    </row>
    <row r="9" customFormat="false" ht="15" hidden="false" customHeight="false" outlineLevel="0" collapsed="false">
      <c r="A9" s="2" t="s">
        <v>5</v>
      </c>
      <c r="B9" s="2" t="s">
        <v>21</v>
      </c>
      <c r="C9" s="2" t="s">
        <v>22</v>
      </c>
      <c r="D9" s="2" t="n">
        <v>10</v>
      </c>
      <c r="E9" s="2" t="s">
        <v>8</v>
      </c>
    </row>
    <row r="10" customFormat="false" ht="15" hidden="false" customHeight="false" outlineLevel="0" collapsed="false">
      <c r="A10" s="2" t="s">
        <v>5</v>
      </c>
      <c r="B10" s="2" t="s">
        <v>23</v>
      </c>
      <c r="C10" s="2" t="s">
        <v>24</v>
      </c>
      <c r="D10" s="2" t="n">
        <v>6</v>
      </c>
      <c r="E10" s="2" t="s">
        <v>8</v>
      </c>
    </row>
    <row r="11" customFormat="false" ht="15" hidden="false" customHeight="false" outlineLevel="0" collapsed="false">
      <c r="A11" s="2" t="s">
        <v>5</v>
      </c>
      <c r="B11" s="2" t="s">
        <v>25</v>
      </c>
      <c r="C11" s="2" t="s">
        <v>26</v>
      </c>
      <c r="D11" s="2" t="n">
        <v>10</v>
      </c>
      <c r="E11" s="2" t="s">
        <v>8</v>
      </c>
    </row>
    <row r="12" customFormat="false" ht="15" hidden="false" customHeight="false" outlineLevel="0" collapsed="false">
      <c r="A12" s="2" t="s">
        <v>5</v>
      </c>
      <c r="B12" s="2" t="s">
        <v>27</v>
      </c>
      <c r="C12" s="2" t="s">
        <v>28</v>
      </c>
      <c r="D12" s="2" t="n">
        <v>4</v>
      </c>
      <c r="E12" s="2" t="s">
        <v>8</v>
      </c>
    </row>
    <row r="13" customFormat="false" ht="15" hidden="false" customHeight="false" outlineLevel="0" collapsed="false">
      <c r="A13" s="2" t="s">
        <v>5</v>
      </c>
      <c r="B13" s="2" t="s">
        <v>29</v>
      </c>
      <c r="C13" s="2" t="s">
        <v>30</v>
      </c>
      <c r="D13" s="2" t="n">
        <v>6</v>
      </c>
      <c r="E13" s="2" t="s">
        <v>8</v>
      </c>
    </row>
    <row r="14" customFormat="false" ht="15" hidden="false" customHeight="false" outlineLevel="0" collapsed="false">
      <c r="A14" s="2" t="s">
        <v>31</v>
      </c>
      <c r="B14" s="2" t="s">
        <v>32</v>
      </c>
      <c r="C14" s="2" t="s">
        <v>33</v>
      </c>
      <c r="D14" s="2" t="n">
        <v>10</v>
      </c>
      <c r="E14" s="2" t="s">
        <v>8</v>
      </c>
    </row>
    <row r="15" customFormat="false" ht="15" hidden="false" customHeight="false" outlineLevel="0" collapsed="false">
      <c r="A15" s="2" t="s">
        <v>31</v>
      </c>
      <c r="B15" s="2" t="s">
        <v>34</v>
      </c>
      <c r="C15" s="2" t="s">
        <v>35</v>
      </c>
      <c r="D15" s="2" t="n">
        <v>8</v>
      </c>
      <c r="E15" s="2" t="s">
        <v>8</v>
      </c>
    </row>
    <row r="16" customFormat="false" ht="15" hidden="false" customHeight="false" outlineLevel="0" collapsed="false">
      <c r="A16" s="2" t="s">
        <v>31</v>
      </c>
      <c r="B16" s="2" t="s">
        <v>36</v>
      </c>
      <c r="C16" s="2" t="s">
        <v>37</v>
      </c>
      <c r="D16" s="2" t="n">
        <v>10</v>
      </c>
      <c r="E16" s="2" t="s">
        <v>8</v>
      </c>
    </row>
    <row r="17" customFormat="false" ht="15" hidden="false" customHeight="false" outlineLevel="0" collapsed="false">
      <c r="A17" s="2" t="s">
        <v>31</v>
      </c>
      <c r="B17" s="2" t="s">
        <v>38</v>
      </c>
      <c r="C17" s="2" t="s">
        <v>39</v>
      </c>
      <c r="D17" s="2" t="n">
        <v>8</v>
      </c>
      <c r="E17" s="2" t="s">
        <v>8</v>
      </c>
    </row>
    <row r="18" customFormat="false" ht="15" hidden="false" customHeight="false" outlineLevel="0" collapsed="false">
      <c r="A18" s="2" t="s">
        <v>31</v>
      </c>
      <c r="B18" s="2" t="s">
        <v>40</v>
      </c>
      <c r="C18" s="2" t="s">
        <v>41</v>
      </c>
      <c r="D18" s="2" t="n">
        <v>8</v>
      </c>
      <c r="E18" s="2" t="s">
        <v>8</v>
      </c>
    </row>
    <row r="19" customFormat="false" ht="15" hidden="false" customHeight="false" outlineLevel="0" collapsed="false">
      <c r="A19" s="2" t="s">
        <v>31</v>
      </c>
      <c r="B19" s="2" t="s">
        <v>42</v>
      </c>
      <c r="C19" s="2" t="s">
        <v>43</v>
      </c>
      <c r="D19" s="2" t="n">
        <v>8</v>
      </c>
      <c r="E19" s="2" t="s">
        <v>8</v>
      </c>
    </row>
    <row r="20" customFormat="false" ht="15" hidden="false" customHeight="false" outlineLevel="0" collapsed="false">
      <c r="A20" s="2" t="s">
        <v>31</v>
      </c>
      <c r="B20" s="2" t="s">
        <v>44</v>
      </c>
      <c r="C20" s="2" t="s">
        <v>45</v>
      </c>
      <c r="D20" s="2" t="n">
        <v>10</v>
      </c>
      <c r="E20" s="2" t="s">
        <v>8</v>
      </c>
    </row>
    <row r="21" customFormat="false" ht="15" hidden="false" customHeight="false" outlineLevel="0" collapsed="false">
      <c r="A21" s="2" t="s">
        <v>31</v>
      </c>
      <c r="B21" s="2" t="s">
        <v>46</v>
      </c>
      <c r="C21" s="2" t="s">
        <v>47</v>
      </c>
      <c r="D21" s="2" t="n">
        <v>10</v>
      </c>
      <c r="E21" s="2" t="s">
        <v>8</v>
      </c>
    </row>
    <row r="22" customFormat="false" ht="15" hidden="false" customHeight="false" outlineLevel="0" collapsed="false">
      <c r="A22" s="2" t="s">
        <v>31</v>
      </c>
      <c r="B22" s="2" t="s">
        <v>48</v>
      </c>
      <c r="C22" s="2" t="s">
        <v>49</v>
      </c>
      <c r="D22" s="2" t="n">
        <v>6</v>
      </c>
      <c r="E22" s="2" t="s">
        <v>8</v>
      </c>
    </row>
    <row r="23" customFormat="false" ht="15" hidden="false" customHeight="false" outlineLevel="0" collapsed="false">
      <c r="A23" s="2" t="s">
        <v>31</v>
      </c>
      <c r="B23" s="2" t="s">
        <v>50</v>
      </c>
      <c r="C23" s="2" t="s">
        <v>51</v>
      </c>
      <c r="D23" s="2" t="n">
        <v>10</v>
      </c>
      <c r="E23" s="2" t="s">
        <v>8</v>
      </c>
    </row>
    <row r="24" customFormat="false" ht="15" hidden="false" customHeight="false" outlineLevel="0" collapsed="false">
      <c r="A24" s="2" t="s">
        <v>31</v>
      </c>
      <c r="B24" s="2" t="s">
        <v>52</v>
      </c>
      <c r="C24" s="2" t="s">
        <v>53</v>
      </c>
      <c r="D24" s="2" t="n">
        <v>10</v>
      </c>
      <c r="E24" s="2" t="s">
        <v>8</v>
      </c>
    </row>
    <row r="25" customFormat="false" ht="15" hidden="false" customHeight="false" outlineLevel="0" collapsed="false">
      <c r="A25" s="2" t="s">
        <v>31</v>
      </c>
      <c r="B25" s="2" t="s">
        <v>54</v>
      </c>
      <c r="C25" s="2" t="s">
        <v>55</v>
      </c>
      <c r="D25" s="2" t="n">
        <v>8</v>
      </c>
      <c r="E25" s="2" t="s">
        <v>8</v>
      </c>
    </row>
    <row r="26" customFormat="false" ht="15" hidden="false" customHeight="false" outlineLevel="0" collapsed="false">
      <c r="A26" s="2" t="s">
        <v>31</v>
      </c>
      <c r="B26" s="2" t="s">
        <v>56</v>
      </c>
      <c r="C26" s="2" t="s">
        <v>57</v>
      </c>
      <c r="D26" s="2" t="n">
        <v>8</v>
      </c>
      <c r="E26" s="2" t="s">
        <v>8</v>
      </c>
    </row>
    <row r="27" customFormat="false" ht="15" hidden="false" customHeight="false" outlineLevel="0" collapsed="false">
      <c r="A27" s="2" t="s">
        <v>58</v>
      </c>
      <c r="B27" s="2" t="s">
        <v>59</v>
      </c>
      <c r="C27" s="2" t="s">
        <v>60</v>
      </c>
      <c r="D27" s="2" t="n">
        <v>8</v>
      </c>
      <c r="E27" s="2" t="s">
        <v>8</v>
      </c>
    </row>
    <row r="28" customFormat="false" ht="15" hidden="false" customHeight="false" outlineLevel="0" collapsed="false">
      <c r="A28" s="2" t="s">
        <v>58</v>
      </c>
      <c r="B28" s="2" t="s">
        <v>61</v>
      </c>
      <c r="C28" s="2" t="s">
        <v>62</v>
      </c>
      <c r="D28" s="2" t="n">
        <v>10</v>
      </c>
      <c r="E28" s="2" t="s">
        <v>8</v>
      </c>
    </row>
    <row r="29" customFormat="false" ht="15" hidden="false" customHeight="false" outlineLevel="0" collapsed="false">
      <c r="A29" s="2" t="s">
        <v>58</v>
      </c>
      <c r="B29" s="2" t="s">
        <v>63</v>
      </c>
      <c r="C29" s="2" t="s">
        <v>64</v>
      </c>
      <c r="D29" s="2" t="n">
        <v>12</v>
      </c>
      <c r="E29" s="2" t="s">
        <v>8</v>
      </c>
    </row>
    <row r="30" customFormat="false" ht="15" hidden="false" customHeight="false" outlineLevel="0" collapsed="false">
      <c r="A30" s="2" t="s">
        <v>58</v>
      </c>
      <c r="B30" s="2" t="s">
        <v>65</v>
      </c>
      <c r="C30" s="2" t="s">
        <v>66</v>
      </c>
      <c r="D30" s="2" t="n">
        <v>14</v>
      </c>
      <c r="E30" s="2" t="s">
        <v>8</v>
      </c>
    </row>
    <row r="31" customFormat="false" ht="15" hidden="false" customHeight="false" outlineLevel="0" collapsed="false">
      <c r="A31" s="2" t="s">
        <v>58</v>
      </c>
      <c r="B31" s="2" t="s">
        <v>67</v>
      </c>
      <c r="C31" s="2" t="s">
        <v>68</v>
      </c>
      <c r="D31" s="2" t="n">
        <v>4</v>
      </c>
      <c r="E31" s="2" t="s">
        <v>8</v>
      </c>
    </row>
    <row r="32" customFormat="false" ht="15" hidden="false" customHeight="false" outlineLevel="0" collapsed="false">
      <c r="A32" s="2" t="s">
        <v>58</v>
      </c>
      <c r="B32" s="2" t="s">
        <v>69</v>
      </c>
      <c r="C32" s="2" t="s">
        <v>70</v>
      </c>
      <c r="D32" s="2" t="n">
        <v>10</v>
      </c>
      <c r="E32" s="2" t="s">
        <v>8</v>
      </c>
    </row>
    <row r="33" customFormat="false" ht="15" hidden="false" customHeight="false" outlineLevel="0" collapsed="false">
      <c r="A33" s="2" t="s">
        <v>58</v>
      </c>
      <c r="B33" s="2" t="s">
        <v>71</v>
      </c>
      <c r="C33" s="2" t="s">
        <v>72</v>
      </c>
      <c r="D33" s="2" t="n">
        <v>8</v>
      </c>
      <c r="E33" s="2" t="s">
        <v>8</v>
      </c>
    </row>
    <row r="34" customFormat="false" ht="15" hidden="false" customHeight="false" outlineLevel="0" collapsed="false">
      <c r="A34" s="2" t="s">
        <v>58</v>
      </c>
      <c r="B34" s="2" t="s">
        <v>73</v>
      </c>
      <c r="C34" s="2" t="s">
        <v>74</v>
      </c>
      <c r="D34" s="2" t="n">
        <v>8</v>
      </c>
      <c r="E34" s="2" t="s">
        <v>8</v>
      </c>
    </row>
    <row r="35" customFormat="false" ht="15" hidden="false" customHeight="false" outlineLevel="0" collapsed="false">
      <c r="A35" s="2" t="s">
        <v>58</v>
      </c>
      <c r="B35" s="2" t="s">
        <v>75</v>
      </c>
      <c r="C35" s="2" t="s">
        <v>76</v>
      </c>
      <c r="D35" s="2" t="n">
        <v>6</v>
      </c>
      <c r="E35" s="2" t="s">
        <v>8</v>
      </c>
    </row>
    <row r="36" customFormat="false" ht="15" hidden="false" customHeight="false" outlineLevel="0" collapsed="false">
      <c r="A36" s="2" t="s">
        <v>58</v>
      </c>
      <c r="B36" s="2" t="s">
        <v>77</v>
      </c>
      <c r="C36" s="2" t="s">
        <v>78</v>
      </c>
      <c r="D36" s="2" t="n">
        <v>6</v>
      </c>
      <c r="E36" s="2" t="s">
        <v>8</v>
      </c>
    </row>
    <row r="37" customFormat="false" ht="15" hidden="false" customHeight="false" outlineLevel="0" collapsed="false">
      <c r="A37" s="2" t="s">
        <v>58</v>
      </c>
      <c r="B37" s="2" t="s">
        <v>79</v>
      </c>
      <c r="C37" s="2" t="s">
        <v>80</v>
      </c>
      <c r="D37" s="2" t="n">
        <v>6</v>
      </c>
      <c r="E37" s="2" t="s">
        <v>8</v>
      </c>
    </row>
    <row r="38" customFormat="false" ht="15" hidden="false" customHeight="false" outlineLevel="0" collapsed="false">
      <c r="A38" s="2" t="s">
        <v>58</v>
      </c>
      <c r="B38" s="2" t="s">
        <v>81</v>
      </c>
      <c r="C38" s="2" t="s">
        <v>82</v>
      </c>
      <c r="D38" s="2" t="n">
        <v>10</v>
      </c>
      <c r="E38" s="2" t="s">
        <v>8</v>
      </c>
    </row>
    <row r="39" customFormat="false" ht="15" hidden="false" customHeight="false" outlineLevel="0" collapsed="false">
      <c r="A39" s="2" t="s">
        <v>58</v>
      </c>
      <c r="B39" s="2" t="s">
        <v>83</v>
      </c>
      <c r="C39" s="2" t="s">
        <v>84</v>
      </c>
      <c r="D39" s="2" t="n">
        <v>6</v>
      </c>
      <c r="E39" s="2" t="s">
        <v>8</v>
      </c>
    </row>
    <row r="40" customFormat="false" ht="15" hidden="false" customHeight="false" outlineLevel="0" collapsed="false">
      <c r="A40" s="2" t="s">
        <v>58</v>
      </c>
      <c r="B40" s="2" t="s">
        <v>85</v>
      </c>
      <c r="C40" s="2" t="s">
        <v>86</v>
      </c>
      <c r="D40" s="2" t="n">
        <v>8</v>
      </c>
      <c r="E40" s="2" t="s">
        <v>8</v>
      </c>
    </row>
    <row r="41" customFormat="false" ht="15" hidden="false" customHeight="false" outlineLevel="0" collapsed="false">
      <c r="A41" s="2" t="s">
        <v>58</v>
      </c>
      <c r="B41" s="2" t="s">
        <v>87</v>
      </c>
      <c r="C41" s="2" t="s">
        <v>88</v>
      </c>
      <c r="D41" s="2" t="n">
        <v>8</v>
      </c>
      <c r="E41" s="2" t="s">
        <v>8</v>
      </c>
    </row>
    <row r="43" customFormat="false" ht="15" hidden="false" customHeight="false" outlineLevel="0" collapsed="false">
      <c r="A43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21"/>
  </cols>
  <sheetData>
    <row r="1" customFormat="false" ht="16.15" hidden="false" customHeight="false" outlineLevel="0" collapsed="false">
      <c r="A1" s="4" t="s">
        <v>90</v>
      </c>
    </row>
    <row r="2" customFormat="false" ht="15" hidden="false" customHeight="false" outlineLevel="0" collapsed="false">
      <c r="A2" s="5" t="s">
        <v>91</v>
      </c>
    </row>
    <row r="4" customFormat="false" ht="15" hidden="false" customHeight="false" outlineLevel="0" collapsed="false">
      <c r="A4" s="6" t="s">
        <v>92</v>
      </c>
      <c r="B4" s="7" t="n">
        <f aca="false">SUMIFS('Sprint Backlog Extract'!$D$2:$D$41,'Sprint Backlog Extract'!$A$2:$A$41,"SP-01")</f>
        <v>100</v>
      </c>
    </row>
    <row r="5" customFormat="false" ht="15" hidden="false" customHeight="false" outlineLevel="0" collapsed="false">
      <c r="A5" s="6" t="s">
        <v>93</v>
      </c>
      <c r="B5" s="8" t="n">
        <v>10</v>
      </c>
    </row>
    <row r="6" customFormat="false" ht="15" hidden="false" customHeight="false" outlineLevel="0" collapsed="false">
      <c r="A6" s="6" t="s">
        <v>94</v>
      </c>
      <c r="B6" s="9" t="n">
        <f aca="false">IF($B$5=0,0,$B$4/$B$5)</f>
        <v>10</v>
      </c>
    </row>
    <row r="8" customFormat="false" ht="30" hidden="false" customHeight="true" outlineLevel="0" collapsed="false">
      <c r="A8" s="10" t="s">
        <v>95</v>
      </c>
      <c r="B8" s="10" t="s">
        <v>96</v>
      </c>
      <c r="C8" s="10" t="s">
        <v>97</v>
      </c>
      <c r="D8" s="10" t="s">
        <v>98</v>
      </c>
    </row>
    <row r="9" customFormat="false" ht="15" hidden="false" customHeight="false" outlineLevel="0" collapsed="false">
      <c r="A9" s="11" t="n">
        <v>0</v>
      </c>
      <c r="B9" s="12" t="n">
        <f aca="false">MAX(0,$B$4-$B$6*$A9)</f>
        <v>100</v>
      </c>
      <c r="C9" s="13" t="n">
        <v>0</v>
      </c>
      <c r="D9" s="12" t="n">
        <f aca="false">$B$4</f>
        <v>100</v>
      </c>
    </row>
    <row r="10" customFormat="false" ht="15" hidden="false" customHeight="false" outlineLevel="0" collapsed="false">
      <c r="A10" s="11" t="n">
        <v>1</v>
      </c>
      <c r="B10" s="12" t="n">
        <f aca="false">MAX(0,$B$4-$B$6*$A10)</f>
        <v>90</v>
      </c>
      <c r="C10" s="13" t="n">
        <v>0</v>
      </c>
      <c r="D10" s="12" t="n">
        <f aca="false">D9-C10</f>
        <v>100</v>
      </c>
    </row>
    <row r="11" customFormat="false" ht="15" hidden="false" customHeight="false" outlineLevel="0" collapsed="false">
      <c r="A11" s="11" t="n">
        <v>2</v>
      </c>
      <c r="B11" s="12" t="n">
        <f aca="false">MAX(0,$B$4-$B$6*$A11)</f>
        <v>80</v>
      </c>
      <c r="C11" s="13" t="n">
        <v>6</v>
      </c>
      <c r="D11" s="12" t="n">
        <f aca="false">D10-C11</f>
        <v>94</v>
      </c>
    </row>
    <row r="12" customFormat="false" ht="15" hidden="false" customHeight="false" outlineLevel="0" collapsed="false">
      <c r="A12" s="11" t="n">
        <v>3</v>
      </c>
      <c r="B12" s="12" t="n">
        <f aca="false">MAX(0,$B$4-$B$6*$A12)</f>
        <v>70</v>
      </c>
      <c r="C12" s="13" t="n">
        <v>10</v>
      </c>
      <c r="D12" s="12" t="n">
        <f aca="false">D11-C12</f>
        <v>84</v>
      </c>
    </row>
    <row r="13" customFormat="false" ht="15" hidden="false" customHeight="false" outlineLevel="0" collapsed="false">
      <c r="A13" s="11" t="n">
        <v>4</v>
      </c>
      <c r="B13" s="12" t="n">
        <f aca="false">MAX(0,$B$4-$B$6*$A13)</f>
        <v>60</v>
      </c>
      <c r="C13" s="13" t="n">
        <v>12</v>
      </c>
      <c r="D13" s="12" t="n">
        <f aca="false">D12-C13</f>
        <v>72</v>
      </c>
    </row>
    <row r="14" customFormat="false" ht="15" hidden="false" customHeight="false" outlineLevel="0" collapsed="false">
      <c r="A14" s="11" t="n">
        <v>5</v>
      </c>
      <c r="B14" s="12" t="n">
        <f aca="false">MAX(0,$B$4-$B$6*$A14)</f>
        <v>50</v>
      </c>
      <c r="C14" s="13" t="n">
        <v>8</v>
      </c>
      <c r="D14" s="12" t="n">
        <f aca="false">D13-C14</f>
        <v>64</v>
      </c>
    </row>
    <row r="15" customFormat="false" ht="15" hidden="false" customHeight="false" outlineLevel="0" collapsed="false">
      <c r="A15" s="11" t="n">
        <v>6</v>
      </c>
      <c r="B15" s="12" t="n">
        <f aca="false">MAX(0,$B$4-$B$6*$A15)</f>
        <v>40</v>
      </c>
      <c r="C15" s="13" t="n">
        <v>4</v>
      </c>
      <c r="D15" s="12" t="n">
        <f aca="false">D14-C15</f>
        <v>60</v>
      </c>
    </row>
    <row r="16" customFormat="false" ht="15" hidden="false" customHeight="false" outlineLevel="0" collapsed="false">
      <c r="A16" s="11" t="n">
        <v>7</v>
      </c>
      <c r="B16" s="12" t="n">
        <f aca="false">MAX(0,$B$4-$B$6*$A16)</f>
        <v>30</v>
      </c>
      <c r="C16" s="13" t="n">
        <v>12</v>
      </c>
      <c r="D16" s="12" t="n">
        <f aca="false">D15-C16</f>
        <v>48</v>
      </c>
    </row>
    <row r="17" customFormat="false" ht="15" hidden="false" customHeight="false" outlineLevel="0" collapsed="false">
      <c r="A17" s="11" t="n">
        <v>8</v>
      </c>
      <c r="B17" s="12" t="n">
        <f aca="false">MAX(0,$B$4-$B$6*$A17)</f>
        <v>20</v>
      </c>
      <c r="C17" s="13" t="n">
        <v>14</v>
      </c>
      <c r="D17" s="12" t="n">
        <f aca="false">D16-C17</f>
        <v>34</v>
      </c>
    </row>
    <row r="18" customFormat="false" ht="15" hidden="false" customHeight="false" outlineLevel="0" collapsed="false">
      <c r="A18" s="11" t="n">
        <v>9</v>
      </c>
      <c r="B18" s="12" t="n">
        <f aca="false">MAX(0,$B$4-$B$6*$A18)</f>
        <v>10</v>
      </c>
      <c r="C18" s="13" t="n">
        <v>16</v>
      </c>
      <c r="D18" s="12" t="n">
        <f aca="false">D17-C18</f>
        <v>18</v>
      </c>
    </row>
    <row r="19" customFormat="false" ht="15" hidden="false" customHeight="false" outlineLevel="0" collapsed="false">
      <c r="A19" s="11" t="n">
        <v>10</v>
      </c>
      <c r="B19" s="12" t="n">
        <f aca="false">MAX(0,$B$4-$B$6*$A19)</f>
        <v>0</v>
      </c>
      <c r="C19" s="13" t="n">
        <v>18</v>
      </c>
      <c r="D19" s="12" t="n">
        <f aca="false">D18-C19</f>
        <v>0</v>
      </c>
    </row>
    <row r="20" customFormat="false" ht="15" hidden="false" customHeight="false" outlineLevel="0" collapsed="false">
      <c r="A20" s="6" t="s">
        <v>99</v>
      </c>
      <c r="C20" s="7" t="n">
        <f aca="false">SUM(C9:C19)</f>
        <v>100</v>
      </c>
    </row>
    <row r="22" customFormat="false" ht="15" hidden="false" customHeight="false" outlineLevel="0" collapsed="false">
      <c r="A22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21"/>
  </cols>
  <sheetData>
    <row r="1" customFormat="false" ht="16.1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</row>
    <row r="4" customFormat="false" ht="15" hidden="false" customHeight="false" outlineLevel="0" collapsed="false">
      <c r="A4" s="6" t="s">
        <v>92</v>
      </c>
      <c r="B4" s="7" t="n">
        <f aca="false">SUMIFS('Sprint Backlog Extract'!$D$2:$D$41,'Sprint Backlog Extract'!$A$2:$A$41,"SP-02")</f>
        <v>114</v>
      </c>
    </row>
    <row r="5" customFormat="false" ht="15" hidden="false" customHeight="false" outlineLevel="0" collapsed="false">
      <c r="A5" s="6" t="s">
        <v>93</v>
      </c>
      <c r="B5" s="8" t="n">
        <v>10</v>
      </c>
    </row>
    <row r="6" customFormat="false" ht="15" hidden="false" customHeight="false" outlineLevel="0" collapsed="false">
      <c r="A6" s="6" t="s">
        <v>94</v>
      </c>
      <c r="B6" s="9" t="n">
        <f aca="false">IF($B$5=0,0,$B$4/$B$5)</f>
        <v>11.4</v>
      </c>
    </row>
    <row r="8" customFormat="false" ht="30" hidden="false" customHeight="true" outlineLevel="0" collapsed="false">
      <c r="A8" s="10" t="s">
        <v>95</v>
      </c>
      <c r="B8" s="10" t="s">
        <v>96</v>
      </c>
      <c r="C8" s="10" t="s">
        <v>97</v>
      </c>
      <c r="D8" s="10" t="s">
        <v>98</v>
      </c>
    </row>
    <row r="9" customFormat="false" ht="15" hidden="false" customHeight="false" outlineLevel="0" collapsed="false">
      <c r="A9" s="11" t="n">
        <v>0</v>
      </c>
      <c r="B9" s="12" t="n">
        <f aca="false">MAX(0,$B$4-$B$6*$A9)</f>
        <v>114</v>
      </c>
      <c r="C9" s="13" t="n">
        <v>0</v>
      </c>
      <c r="D9" s="12" t="n">
        <f aca="false">$B$4</f>
        <v>114</v>
      </c>
    </row>
    <row r="10" customFormat="false" ht="15" hidden="false" customHeight="false" outlineLevel="0" collapsed="false">
      <c r="A10" s="11" t="n">
        <v>1</v>
      </c>
      <c r="B10" s="12" t="n">
        <f aca="false">MAX(0,$B$4-$B$6*$A10)</f>
        <v>102.6</v>
      </c>
      <c r="C10" s="13" t="n">
        <v>4</v>
      </c>
      <c r="D10" s="12" t="n">
        <f aca="false">D9-C10</f>
        <v>110</v>
      </c>
    </row>
    <row r="11" customFormat="false" ht="15" hidden="false" customHeight="false" outlineLevel="0" collapsed="false">
      <c r="A11" s="11" t="n">
        <v>2</v>
      </c>
      <c r="B11" s="12" t="n">
        <f aca="false">MAX(0,$B$4-$B$6*$A11)</f>
        <v>91.2</v>
      </c>
      <c r="C11" s="13" t="n">
        <v>8</v>
      </c>
      <c r="D11" s="12" t="n">
        <f aca="false">D10-C11</f>
        <v>102</v>
      </c>
    </row>
    <row r="12" customFormat="false" ht="15" hidden="false" customHeight="false" outlineLevel="0" collapsed="false">
      <c r="A12" s="11" t="n">
        <v>3</v>
      </c>
      <c r="B12" s="12" t="n">
        <f aca="false">MAX(0,$B$4-$B$6*$A12)</f>
        <v>79.8</v>
      </c>
      <c r="C12" s="13" t="n">
        <v>12</v>
      </c>
      <c r="D12" s="12" t="n">
        <f aca="false">D11-C12</f>
        <v>90</v>
      </c>
    </row>
    <row r="13" customFormat="false" ht="15" hidden="false" customHeight="false" outlineLevel="0" collapsed="false">
      <c r="A13" s="11" t="n">
        <v>4</v>
      </c>
      <c r="B13" s="12" t="n">
        <f aca="false">MAX(0,$B$4-$B$6*$A13)</f>
        <v>68.4</v>
      </c>
      <c r="C13" s="13" t="n">
        <v>14</v>
      </c>
      <c r="D13" s="12" t="n">
        <f aca="false">D12-C13</f>
        <v>76</v>
      </c>
    </row>
    <row r="14" customFormat="false" ht="15" hidden="false" customHeight="false" outlineLevel="0" collapsed="false">
      <c r="A14" s="11" t="n">
        <v>5</v>
      </c>
      <c r="B14" s="12" t="n">
        <f aca="false">MAX(0,$B$4-$B$6*$A14)</f>
        <v>57</v>
      </c>
      <c r="C14" s="13" t="n">
        <v>10</v>
      </c>
      <c r="D14" s="12" t="n">
        <f aca="false">D13-C14</f>
        <v>66</v>
      </c>
    </row>
    <row r="15" customFormat="false" ht="15" hidden="false" customHeight="false" outlineLevel="0" collapsed="false">
      <c r="A15" s="11" t="n">
        <v>6</v>
      </c>
      <c r="B15" s="12" t="n">
        <f aca="false">MAX(0,$B$4-$B$6*$A15)</f>
        <v>45.6</v>
      </c>
      <c r="C15" s="13" t="n">
        <v>6</v>
      </c>
      <c r="D15" s="12" t="n">
        <f aca="false">D14-C15</f>
        <v>60</v>
      </c>
    </row>
    <row r="16" customFormat="false" ht="15" hidden="false" customHeight="false" outlineLevel="0" collapsed="false">
      <c r="A16" s="11" t="n">
        <v>7</v>
      </c>
      <c r="B16" s="12" t="n">
        <f aca="false">MAX(0,$B$4-$B$6*$A16)</f>
        <v>34.2</v>
      </c>
      <c r="C16" s="13" t="n">
        <v>14</v>
      </c>
      <c r="D16" s="12" t="n">
        <f aca="false">D15-C16</f>
        <v>46</v>
      </c>
    </row>
    <row r="17" customFormat="false" ht="15" hidden="false" customHeight="false" outlineLevel="0" collapsed="false">
      <c r="A17" s="11" t="n">
        <v>8</v>
      </c>
      <c r="B17" s="12" t="n">
        <f aca="false">MAX(0,$B$4-$B$6*$A17)</f>
        <v>22.8</v>
      </c>
      <c r="C17" s="13" t="n">
        <v>16</v>
      </c>
      <c r="D17" s="12" t="n">
        <f aca="false">D16-C17</f>
        <v>30</v>
      </c>
    </row>
    <row r="18" customFormat="false" ht="15" hidden="false" customHeight="false" outlineLevel="0" collapsed="false">
      <c r="A18" s="11" t="n">
        <v>9</v>
      </c>
      <c r="B18" s="12" t="n">
        <f aca="false">MAX(0,$B$4-$B$6*$A18)</f>
        <v>11.4</v>
      </c>
      <c r="C18" s="13" t="n">
        <v>14</v>
      </c>
      <c r="D18" s="12" t="n">
        <f aca="false">D17-C18</f>
        <v>16</v>
      </c>
    </row>
    <row r="19" customFormat="false" ht="15" hidden="false" customHeight="false" outlineLevel="0" collapsed="false">
      <c r="A19" s="11" t="n">
        <v>10</v>
      </c>
      <c r="B19" s="12" t="n">
        <f aca="false">MAX(0,$B$4-$B$6*$A19)</f>
        <v>0</v>
      </c>
      <c r="C19" s="13" t="n">
        <v>16</v>
      </c>
      <c r="D19" s="12" t="n">
        <f aca="false">D18-C19</f>
        <v>0</v>
      </c>
    </row>
    <row r="20" customFormat="false" ht="15" hidden="false" customHeight="false" outlineLevel="0" collapsed="false">
      <c r="A20" s="6" t="s">
        <v>99</v>
      </c>
      <c r="C20" s="7" t="n">
        <f aca="false">SUM(C9:C19)</f>
        <v>114</v>
      </c>
    </row>
    <row r="22" customFormat="false" ht="15" hidden="false" customHeight="false" outlineLevel="0" collapsed="false">
      <c r="A22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21"/>
  </cols>
  <sheetData>
    <row r="1" customFormat="false" ht="16.15" hidden="false" customHeight="false" outlineLevel="0" collapsed="false">
      <c r="A1" s="4" t="s">
        <v>103</v>
      </c>
    </row>
    <row r="2" customFormat="false" ht="15" hidden="false" customHeight="false" outlineLevel="0" collapsed="false">
      <c r="A2" s="5" t="s">
        <v>104</v>
      </c>
    </row>
    <row r="4" customFormat="false" ht="15" hidden="false" customHeight="false" outlineLevel="0" collapsed="false">
      <c r="A4" s="6" t="s">
        <v>92</v>
      </c>
      <c r="B4" s="7" t="n">
        <f aca="false">SUMIFS('Sprint Backlog Extract'!$D$2:$D$41,'Sprint Backlog Extract'!$A$2:$A$41,"SP-03")</f>
        <v>124</v>
      </c>
    </row>
    <row r="5" customFormat="false" ht="15" hidden="false" customHeight="false" outlineLevel="0" collapsed="false">
      <c r="A5" s="6" t="s">
        <v>93</v>
      </c>
      <c r="B5" s="8" t="n">
        <v>10</v>
      </c>
    </row>
    <row r="6" customFormat="false" ht="15" hidden="false" customHeight="false" outlineLevel="0" collapsed="false">
      <c r="A6" s="6" t="s">
        <v>94</v>
      </c>
      <c r="B6" s="9" t="n">
        <f aca="false">IF($B$5=0,0,$B$4/$B$5)</f>
        <v>12.4</v>
      </c>
    </row>
    <row r="8" customFormat="false" ht="30" hidden="false" customHeight="true" outlineLevel="0" collapsed="false">
      <c r="A8" s="10" t="s">
        <v>95</v>
      </c>
      <c r="B8" s="10" t="s">
        <v>96</v>
      </c>
      <c r="C8" s="10" t="s">
        <v>97</v>
      </c>
      <c r="D8" s="10" t="s">
        <v>98</v>
      </c>
    </row>
    <row r="9" customFormat="false" ht="15" hidden="false" customHeight="false" outlineLevel="0" collapsed="false">
      <c r="A9" s="11" t="n">
        <v>0</v>
      </c>
      <c r="B9" s="12" t="n">
        <f aca="false">MAX(0,$B$4-$B$6*$A9)</f>
        <v>124</v>
      </c>
      <c r="C9" s="13" t="n">
        <v>0</v>
      </c>
      <c r="D9" s="12" t="n">
        <f aca="false">$B$4</f>
        <v>124</v>
      </c>
    </row>
    <row r="10" customFormat="false" ht="15" hidden="false" customHeight="false" outlineLevel="0" collapsed="false">
      <c r="A10" s="11" t="n">
        <v>1</v>
      </c>
      <c r="B10" s="12" t="n">
        <f aca="false">MAX(0,$B$4-$B$6*$A10)</f>
        <v>111.6</v>
      </c>
      <c r="C10" s="13" t="n">
        <v>6</v>
      </c>
      <c r="D10" s="12" t="n">
        <f aca="false">D9-C10</f>
        <v>118</v>
      </c>
    </row>
    <row r="11" customFormat="false" ht="15" hidden="false" customHeight="false" outlineLevel="0" collapsed="false">
      <c r="A11" s="11" t="n">
        <v>2</v>
      </c>
      <c r="B11" s="12" t="n">
        <f aca="false">MAX(0,$B$4-$B$6*$A11)</f>
        <v>99.2</v>
      </c>
      <c r="C11" s="13" t="n">
        <v>10</v>
      </c>
      <c r="D11" s="12" t="n">
        <f aca="false">D10-C11</f>
        <v>108</v>
      </c>
    </row>
    <row r="12" customFormat="false" ht="15" hidden="false" customHeight="false" outlineLevel="0" collapsed="false">
      <c r="A12" s="11" t="n">
        <v>3</v>
      </c>
      <c r="B12" s="12" t="n">
        <f aca="false">MAX(0,$B$4-$B$6*$A12)</f>
        <v>86.8</v>
      </c>
      <c r="C12" s="13" t="n">
        <v>14</v>
      </c>
      <c r="D12" s="12" t="n">
        <f aca="false">D11-C12</f>
        <v>94</v>
      </c>
    </row>
    <row r="13" customFormat="false" ht="15" hidden="false" customHeight="false" outlineLevel="0" collapsed="false">
      <c r="A13" s="11" t="n">
        <v>4</v>
      </c>
      <c r="B13" s="12" t="n">
        <f aca="false">MAX(0,$B$4-$B$6*$A13)</f>
        <v>74.4</v>
      </c>
      <c r="C13" s="13" t="n">
        <v>16</v>
      </c>
      <c r="D13" s="12" t="n">
        <f aca="false">D12-C13</f>
        <v>78</v>
      </c>
    </row>
    <row r="14" customFormat="false" ht="15" hidden="false" customHeight="false" outlineLevel="0" collapsed="false">
      <c r="A14" s="11" t="n">
        <v>5</v>
      </c>
      <c r="B14" s="12" t="n">
        <f aca="false">MAX(0,$B$4-$B$6*$A14)</f>
        <v>62</v>
      </c>
      <c r="C14" s="13" t="n">
        <v>12</v>
      </c>
      <c r="D14" s="12" t="n">
        <f aca="false">D13-C14</f>
        <v>66</v>
      </c>
    </row>
    <row r="15" customFormat="false" ht="15" hidden="false" customHeight="false" outlineLevel="0" collapsed="false">
      <c r="A15" s="11" t="n">
        <v>6</v>
      </c>
      <c r="B15" s="12" t="n">
        <f aca="false">MAX(0,$B$4-$B$6*$A15)</f>
        <v>49.6</v>
      </c>
      <c r="C15" s="13" t="n">
        <v>8</v>
      </c>
      <c r="D15" s="12" t="n">
        <f aca="false">D14-C15</f>
        <v>58</v>
      </c>
    </row>
    <row r="16" customFormat="false" ht="15" hidden="false" customHeight="false" outlineLevel="0" collapsed="false">
      <c r="A16" s="11" t="n">
        <v>7</v>
      </c>
      <c r="B16" s="12" t="n">
        <f aca="false">MAX(0,$B$4-$B$6*$A16)</f>
        <v>37.2</v>
      </c>
      <c r="C16" s="13" t="n">
        <v>14</v>
      </c>
      <c r="D16" s="12" t="n">
        <f aca="false">D15-C16</f>
        <v>44</v>
      </c>
    </row>
    <row r="17" customFormat="false" ht="15" hidden="false" customHeight="false" outlineLevel="0" collapsed="false">
      <c r="A17" s="11" t="n">
        <v>8</v>
      </c>
      <c r="B17" s="12" t="n">
        <f aca="false">MAX(0,$B$4-$B$6*$A17)</f>
        <v>24.8</v>
      </c>
      <c r="C17" s="13" t="n">
        <v>16</v>
      </c>
      <c r="D17" s="12" t="n">
        <f aca="false">D16-C17</f>
        <v>28</v>
      </c>
    </row>
    <row r="18" customFormat="false" ht="15" hidden="false" customHeight="false" outlineLevel="0" collapsed="false">
      <c r="A18" s="11" t="n">
        <v>9</v>
      </c>
      <c r="B18" s="12" t="n">
        <f aca="false">MAX(0,$B$4-$B$6*$A18)</f>
        <v>12.4</v>
      </c>
      <c r="C18" s="13" t="n">
        <v>14</v>
      </c>
      <c r="D18" s="12" t="n">
        <f aca="false">D17-C18</f>
        <v>14</v>
      </c>
    </row>
    <row r="19" customFormat="false" ht="15" hidden="false" customHeight="false" outlineLevel="0" collapsed="false">
      <c r="A19" s="11" t="n">
        <v>10</v>
      </c>
      <c r="B19" s="12" t="n">
        <f aca="false">MAX(0,$B$4-$B$6*$A19)</f>
        <v>0</v>
      </c>
      <c r="C19" s="13" t="n">
        <v>14</v>
      </c>
      <c r="D19" s="12" t="n">
        <f aca="false">D18-C19</f>
        <v>0</v>
      </c>
    </row>
    <row r="20" customFormat="false" ht="15" hidden="false" customHeight="false" outlineLevel="0" collapsed="false">
      <c r="A20" s="6" t="s">
        <v>99</v>
      </c>
      <c r="C20" s="7" t="n">
        <f aca="false">SUM(C9:C19)</f>
        <v>124</v>
      </c>
    </row>
    <row r="22" customFormat="false" ht="15" hidden="false" customHeight="false" outlineLevel="0" collapsed="false">
      <c r="A22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4" t="s">
        <v>105</v>
      </c>
    </row>
    <row r="3" customFormat="false" ht="30" hidden="false" customHeight="true" outlineLevel="0" collapsed="false">
      <c r="A3" s="6" t="s">
        <v>106</v>
      </c>
      <c r="B3" s="14" t="s">
        <v>107</v>
      </c>
    </row>
    <row r="4" customFormat="false" ht="30" hidden="false" customHeight="true" outlineLevel="0" collapsed="false">
      <c r="A4" s="6" t="s">
        <v>108</v>
      </c>
      <c r="B4" s="14" t="s">
        <v>109</v>
      </c>
    </row>
    <row r="5" customFormat="false" ht="30" hidden="false" customHeight="true" outlineLevel="0" collapsed="false">
      <c r="A5" s="6" t="s">
        <v>110</v>
      </c>
      <c r="B5" s="14" t="s">
        <v>111</v>
      </c>
    </row>
    <row r="6" customFormat="false" ht="30" hidden="false" customHeight="true" outlineLevel="0" collapsed="false">
      <c r="A6" s="6" t="s">
        <v>112</v>
      </c>
      <c r="B6" s="14" t="s">
        <v>113</v>
      </c>
    </row>
    <row r="7" customFormat="false" ht="30" hidden="false" customHeight="true" outlineLevel="0" collapsed="false">
      <c r="A7" s="6" t="s">
        <v>114</v>
      </c>
      <c r="B7" s="14" t="s">
        <v>115</v>
      </c>
    </row>
    <row r="8" customFormat="false" ht="30" hidden="false" customHeight="true" outlineLevel="0" collapsed="false">
      <c r="A8" s="6" t="s">
        <v>116</v>
      </c>
      <c r="B8" s="14" t="s">
        <v>117</v>
      </c>
    </row>
    <row r="9" customFormat="false" ht="30" hidden="false" customHeight="true" outlineLevel="0" collapsed="false">
      <c r="A9" s="6" t="s">
        <v>118</v>
      </c>
      <c r="B9" s="14" t="s">
        <v>119</v>
      </c>
    </row>
    <row r="10" customFormat="false" ht="30" hidden="false" customHeight="true" outlineLevel="0" collapsed="false">
      <c r="A10" s="6" t="s">
        <v>120</v>
      </c>
      <c r="B10" s="14" t="s">
        <v>121</v>
      </c>
    </row>
    <row r="11" customFormat="false" ht="30" hidden="false" customHeight="true" outlineLevel="0" collapsed="false">
      <c r="A11" s="6" t="s">
        <v>122</v>
      </c>
      <c r="B11" s="1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2026-08-23T08:30:50Z</dcterms:created>
  <dc:creator>openpyxl</dc:creator>
  <dc:description/>
  <dc:language>en-US</dc:language>
  <cp:lastModifiedBy/>
  <dcterms:modified xsi:type="dcterms:W3CDTF">2026-08-23T08:30:52Z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