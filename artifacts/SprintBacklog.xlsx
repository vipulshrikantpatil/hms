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print Summary" sheetId="2" state="visible" r:id="rId4"/>
  </sheets>
  <definedNames>
    <definedName function="false" hidden="true" localSheetId="0" name="_xlnm._FilterDatabase" vbProcedure="false">'Sprint Backlog'!$A$1:$L$41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<sst xmlns="http://schemas.openxmlformats.org/spreadsheetml/2006/main" count="412" uniqueCount="195">
  <si>
    <t xml:space="preserve">Sprint ID / Sprint Name</t>
  </si>
  <si>
    <t xml:space="preserve">User Story ID</t>
  </si>
  <si>
    <t xml:space="preserve">User Story Description</t>
  </si>
  <si>
    <t xml:space="preserve">Task ID</t>
  </si>
  <si>
    <t xml:space="preserve">Task Description</t>
  </si>
  <si>
    <t xml:space="preserve">Assignee</t>
  </si>
  <si>
    <t xml:space="preserve">Estimated Effort (Hours)</t>
  </si>
  <si>
    <t xml:space="preserve">Actual Effort (Hours)</t>
  </si>
  <si>
    <t xml:space="preserve">Status</t>
  </si>
  <si>
    <t xml:space="preserve">Start Date</t>
  </si>
  <si>
    <t xml:space="preserve">End Date</t>
  </si>
  <si>
    <t xml:space="preserve">Remarks</t>
  </si>
  <si>
    <t xml:space="preserve">SP-01 / Sprint 1 - Foundation &amp; Authentication</t>
  </si>
  <si>
    <t xml:space="preserve">US-01</t>
  </si>
  <si>
    <t xml:space="preserve">As a system owner I need a relational schema so patient, doctor and appointment data is stored reliably</t>
  </si>
  <si>
    <t xml:space="preserve">T-101</t>
  </si>
  <si>
    <t xml:space="preserve">Design DDL for users, patients, doctors, departments, rooms, appointments, payments</t>
  </si>
  <si>
    <t xml:space="preserve">Rahul (Backend)</t>
  </si>
  <si>
    <t xml:space="preserve">Done</t>
  </si>
  <si>
    <t xml:space="preserve">2026-06-01</t>
  </si>
  <si>
    <t xml:space="preserve">2026-06-02</t>
  </si>
  <si>
    <t xml:space="preserve">Includes CHECK constraints for mobile format</t>
  </si>
  <si>
    <t xml:space="preserve">T-102</t>
  </si>
  <si>
    <t xml:space="preserve">Add Postgres EXCLUDE constraints for doctor and room overlap</t>
  </si>
  <si>
    <t xml:space="preserve">2026-06-03</t>
  </si>
  <si>
    <t xml:space="preserve">btree_gist extension required; MySQL falls back to service checks</t>
  </si>
  <si>
    <t xml:space="preserve">T-103</t>
  </si>
  <si>
    <t xml:space="preserve">Create JPA entities with Hibernate Validator annotations</t>
  </si>
  <si>
    <t xml:space="preserve">Sneha (Backend)</t>
  </si>
  <si>
    <t xml:space="preserve">2026-06-05</t>
  </si>
  <si>
    <t xml:space="preserve">Lombok builders used to keep entities short</t>
  </si>
  <si>
    <t xml:space="preserve">US-02</t>
  </si>
  <si>
    <t xml:space="preserve">As a visitor I want to register as a patient so that I can book appointments</t>
  </si>
  <si>
    <t xml:space="preserve">T-104</t>
  </si>
  <si>
    <t xml:space="preserve">Registration API with unique email check</t>
  </si>
  <si>
    <t xml:space="preserve">2026-06-08</t>
  </si>
  <si>
    <t xml:space="preserve">T-105</t>
  </si>
  <si>
    <t xml:space="preserve">Registration form with confirm password and strong password rules</t>
  </si>
  <si>
    <t xml:space="preserve">Aditya (Frontend)</t>
  </si>
  <si>
    <t xml:space="preserve">2026-06-09</t>
  </si>
  <si>
    <t xml:space="preserve">Password rule mirrored on client and server</t>
  </si>
  <si>
    <t xml:space="preserve">US-03</t>
  </si>
  <si>
    <t xml:space="preserve">As a registered user I want to log in securely so that only I can see my records</t>
  </si>
  <si>
    <t xml:space="preserve">T-106</t>
  </si>
  <si>
    <t xml:space="preserve">JWT issue and validation filter</t>
  </si>
  <si>
    <t xml:space="preserve">T-107</t>
  </si>
  <si>
    <t xml:space="preserve">Spring Security config with role based URL rules</t>
  </si>
  <si>
    <t xml:space="preserve">T-108</t>
  </si>
  <si>
    <t xml:space="preserve">Angular auth service, token interceptor and route guards</t>
  </si>
  <si>
    <t xml:space="preserve">2026-06-10</t>
  </si>
  <si>
    <t xml:space="preserve">US-04</t>
  </si>
  <si>
    <t xml:space="preserve">As a visitor I want to browse doctors and departments before logging in</t>
  </si>
  <si>
    <t xml:space="preserve">T-109</t>
  </si>
  <si>
    <t xml:space="preserve">Public doctor and department endpoints with search</t>
  </si>
  <si>
    <t xml:space="preserve">T-110</t>
  </si>
  <si>
    <t xml:space="preserve">Landing page with specialists and departments tables</t>
  </si>
  <si>
    <t xml:space="preserve">Priya (Frontend)</t>
  </si>
  <si>
    <t xml:space="preserve">2026-06-12</t>
  </si>
  <si>
    <t xml:space="preserve">Department filter added on review feedback</t>
  </si>
  <si>
    <t xml:space="preserve">US-05</t>
  </si>
  <si>
    <t xml:space="preserve">As a QA engineer I need seed data so the app is testable from the first run</t>
  </si>
  <si>
    <t xml:space="preserve">T-111</t>
  </si>
  <si>
    <t xml:space="preserve">DataSeeder with admin, 3 departments, 4 doctors, 4 rooms</t>
  </si>
  <si>
    <t xml:space="preserve">Faiz (QA)</t>
  </si>
  <si>
    <t xml:space="preserve">2026-06-11</t>
  </si>
  <si>
    <t xml:space="preserve">T-112</t>
  </si>
  <si>
    <t xml:space="preserve">Smoke test pack for auth and public endpoints</t>
  </si>
  <si>
    <t xml:space="preserve">SP-02 / Sprint 2 - Booking, Collision &amp; Payment</t>
  </si>
  <si>
    <t xml:space="preserve">US-06</t>
  </si>
  <si>
    <t xml:space="preserve">As a patient I want to see which slots are free so that I can pick a convenient time</t>
  </si>
  <si>
    <t xml:space="preserve">T-201</t>
  </si>
  <si>
    <t xml:space="preserve">Slot generation from doctor availability and slot length</t>
  </si>
  <si>
    <t xml:space="preserve">2026-06-15</t>
  </si>
  <si>
    <t xml:space="preserve">2026-06-16</t>
  </si>
  <si>
    <t xml:space="preserve">Past slots marked unavailable</t>
  </si>
  <si>
    <t xml:space="preserve">T-202</t>
  </si>
  <si>
    <t xml:space="preserve">Slot picker UI with availability markers</t>
  </si>
  <si>
    <t xml:space="preserve">2026-06-17</t>
  </si>
  <si>
    <t xml:space="preserve">US-07</t>
  </si>
  <si>
    <t xml:space="preserve">As a hospital I must never double-book a doctor or a room</t>
  </si>
  <si>
    <t xml:space="preserve">T-203</t>
  </si>
  <si>
    <t xml:space="preserve">Collision validation service for doctor overlap</t>
  </si>
  <si>
    <t xml:space="preserve">Core acceptance criterion</t>
  </si>
  <si>
    <t xml:space="preserve">T-204</t>
  </si>
  <si>
    <t xml:space="preserve">Room occupancy validation and free-room endpoint</t>
  </si>
  <si>
    <t xml:space="preserve">2026-06-18</t>
  </si>
  <si>
    <t xml:space="preserve">T-205</t>
  </si>
  <si>
    <t xml:space="preserve">Concurrency test - two bookings for the same slot</t>
  </si>
  <si>
    <t xml:space="preserve">2026-06-19</t>
  </si>
  <si>
    <t xml:space="preserve">Verified DB constraint catches the race</t>
  </si>
  <si>
    <t xml:space="preserve">US-08</t>
  </si>
  <si>
    <t xml:space="preserve">As a patient I want to request an appointment and track its status</t>
  </si>
  <si>
    <t xml:space="preserve">T-206</t>
  </si>
  <si>
    <t xml:space="preserve">Booking API returning PENDING appointment</t>
  </si>
  <si>
    <t xml:space="preserve">T-207</t>
  </si>
  <si>
    <t xml:space="preserve">Booking page with room preference and reason</t>
  </si>
  <si>
    <t xml:space="preserve">T-208</t>
  </si>
  <si>
    <t xml:space="preserve">Patient dashboard with appointment table and live status</t>
  </si>
  <si>
    <t xml:space="preserve">2026-06-22</t>
  </si>
  <si>
    <t xml:space="preserve">US-09</t>
  </si>
  <si>
    <t xml:space="preserve">As a patient I want to pay the consultation fee and get a receipt</t>
  </si>
  <si>
    <t xml:space="preserve">T-209</t>
  </si>
  <si>
    <t xml:space="preserve">PaymentService abstraction and pending payment on booking</t>
  </si>
  <si>
    <t xml:space="preserve">2026-06-23</t>
  </si>
  <si>
    <t xml:space="preserve">T-210</t>
  </si>
  <si>
    <t xml:space="preserve">Card payment endpoint - Luhn check, store last 4 digits only</t>
  </si>
  <si>
    <t xml:space="preserve">2026-06-24</t>
  </si>
  <si>
    <t xml:space="preserve">PAN and CVV never persisted</t>
  </si>
  <si>
    <t xml:space="preserve">T-211</t>
  </si>
  <si>
    <t xml:space="preserve">Payment page with masked card input and terms checkbox</t>
  </si>
  <si>
    <t xml:space="preserve">2026-06-25</t>
  </si>
  <si>
    <t xml:space="preserve">T-212</t>
  </si>
  <si>
    <t xml:space="preserve">Printable receipt view with print stylesheet</t>
  </si>
  <si>
    <t xml:space="preserve">2026-06-26</t>
  </si>
  <si>
    <t xml:space="preserve">Receipt typography locked against mobile auto-linking</t>
  </si>
  <si>
    <t xml:space="preserve">US-10</t>
  </si>
  <si>
    <t xml:space="preserve">As a patient I want a refund when I cancel a paid appointment</t>
  </si>
  <si>
    <t xml:space="preserve">T-213</t>
  </si>
  <si>
    <t xml:space="preserve">Cancel flow with automatic refund and admin remark</t>
  </si>
  <si>
    <t xml:space="preserve">SP-03 / Sprint 3 - Admin Console, Search &amp; UI</t>
  </si>
  <si>
    <t xml:space="preserve">US-11</t>
  </si>
  <si>
    <t xml:space="preserve">As an admin I want to approve or reject appointment requests</t>
  </si>
  <si>
    <t xml:space="preserve">T-301</t>
  </si>
  <si>
    <t xml:space="preserve">Approve and reject endpoints with mandatory remarks</t>
  </si>
  <si>
    <t xml:space="preserve">2026-06-29</t>
  </si>
  <si>
    <t xml:space="preserve">2026-06-30</t>
  </si>
  <si>
    <t xml:space="preserve">T-302</t>
  </si>
  <si>
    <t xml:space="preserve">Request queue table with inline actions and room assignment</t>
  </si>
  <si>
    <t xml:space="preserve">2026-07-01</t>
  </si>
  <si>
    <t xml:space="preserve">US-12</t>
  </si>
  <si>
    <t xml:space="preserve">As an admin I want CRUD screens for doctors, departments, rooms and patients</t>
  </si>
  <si>
    <t xml:space="preserve">T-303</t>
  </si>
  <si>
    <t xml:space="preserve">Admin CRUD endpoints and validation rules</t>
  </si>
  <si>
    <t xml:space="preserve">T-304</t>
  </si>
  <si>
    <t xml:space="preserve">Six-tab admin dashboard with forms and tables</t>
  </si>
  <si>
    <t xml:space="preserve">2026-07-03</t>
  </si>
  <si>
    <t xml:space="preserve">T-305</t>
  </si>
  <si>
    <t xml:space="preserve">Doctor years of experience field end to end</t>
  </si>
  <si>
    <t xml:space="preserve">US-13</t>
  </si>
  <si>
    <t xml:space="preserve">As an admin I want to find records quickly and clean up in bulk</t>
  </si>
  <si>
    <t xml:space="preserve">T-306</t>
  </si>
  <si>
    <t xml:space="preserve">Search bars - appointment ID/date, doctor ID/specialty, patient ID/date</t>
  </si>
  <si>
    <t xml:space="preserve">2026-07-06</t>
  </si>
  <si>
    <t xml:space="preserve">T-307</t>
  </si>
  <si>
    <t xml:space="preserve">Bulk delete endpoints and multi-select tables</t>
  </si>
  <si>
    <t xml:space="preserve">2026-07-07</t>
  </si>
  <si>
    <t xml:space="preserve">US-14</t>
  </si>
  <si>
    <t xml:space="preserve">As an admin I want to track whether a patient is admitted or discharged</t>
  </si>
  <si>
    <t xml:space="preserve">T-308</t>
  </si>
  <si>
    <t xml:space="preserve">Patient status field with auto-discharge rule</t>
  </si>
  <si>
    <t xml:space="preserve">Auto-discharge runs when the patient list loads</t>
  </si>
  <si>
    <t xml:space="preserve">T-309</t>
  </si>
  <si>
    <t xml:space="preserve">Status column with admit and discharge actions</t>
  </si>
  <si>
    <t xml:space="preserve">2026-07-08</t>
  </si>
  <si>
    <t xml:space="preserve">US-15</t>
  </si>
  <si>
    <t xml:space="preserve">As a user I want clear feedback for every action</t>
  </si>
  <si>
    <t xml:space="preserve">T-310</t>
  </si>
  <si>
    <t xml:space="preserve">Global exception handler and error flattening</t>
  </si>
  <si>
    <t xml:space="preserve">2026-07-02</t>
  </si>
  <si>
    <t xml:space="preserve">T-311</t>
  </si>
  <si>
    <t xml:space="preserve">Popup service for success and error dialogs</t>
  </si>
  <si>
    <t xml:space="preserve">US-16</t>
  </si>
  <si>
    <t xml:space="preserve">As a hospital I want the portal to look professional and print correctly</t>
  </si>
  <si>
    <t xml:space="preserve">T-312</t>
  </si>
  <si>
    <t xml:space="preserve">Native CSS theme, logo and navbar with home button</t>
  </si>
  <si>
    <t xml:space="preserve">2026-07-09</t>
  </si>
  <si>
    <t xml:space="preserve">No CSS framework used, per NFR-04</t>
  </si>
  <si>
    <t xml:space="preserve">T-313</t>
  </si>
  <si>
    <t xml:space="preserve">Responsive checks and print stylesheet QA</t>
  </si>
  <si>
    <t xml:space="preserve">2026-07-10</t>
  </si>
  <si>
    <t xml:space="preserve">US-17</t>
  </si>
  <si>
    <t xml:space="preserve">As a project team we need release artefacts</t>
  </si>
  <si>
    <t xml:space="preserve">T-314</t>
  </si>
  <si>
    <t xml:space="preserve">Regression pass across all roles</t>
  </si>
  <si>
    <t xml:space="preserve">T-315</t>
  </si>
  <si>
    <t xml:space="preserve">README, user manual and flowchart pack</t>
  </si>
  <si>
    <t xml:space="preserve">Mustafa (Tech Lead)</t>
  </si>
  <si>
    <t xml:space="preserve">Delivered with the codebase zip</t>
  </si>
  <si>
    <t xml:space="preserve">TOTAL</t>
  </si>
  <si>
    <t xml:space="preserve">Legend: edit only the white cells. Status must be one of To Do / In Progress / Done. Effort is recorded in hours (1 story point = 4 hours for this team). Dates are working days; each sprint is 2 weeks / 10 working days.</t>
  </si>
  <si>
    <t xml:space="preserve">Sprint ID</t>
  </si>
  <si>
    <t xml:space="preserve">Sprint Name</t>
  </si>
  <si>
    <t xml:space="preserve">Working Days</t>
  </si>
  <si>
    <t xml:space="preserve">Tasks</t>
  </si>
  <si>
    <t xml:space="preserve">Estimated (h)</t>
  </si>
  <si>
    <t xml:space="preserve">Actual (h)</t>
  </si>
  <si>
    <t xml:space="preserve">Variance (h)</t>
  </si>
  <si>
    <t xml:space="preserve">Velocity (h/day)</t>
  </si>
  <si>
    <t xml:space="preserve">SP-01</t>
  </si>
  <si>
    <t xml:space="preserve">Sprint 1 - Foundation &amp; Authentication</t>
  </si>
  <si>
    <t xml:space="preserve">SP-02</t>
  </si>
  <si>
    <t xml:space="preserve">Sprint 2 - Booking, Collision &amp; Payment</t>
  </si>
  <si>
    <t xml:space="preserve">SP-03</t>
  </si>
  <si>
    <t xml:space="preserve">Sprint 3 - Admin Console, Search &amp; UI</t>
  </si>
  <si>
    <t xml:space="preserve">All figures are formulas over the Sprint Backlog sheet - add a task there and this summary updates itself. Variance = Actual - Estimated (positive means the sprint over-ran its estimate).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</si>
</sst>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5C8A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4"/>
      </left>
      <right style="thin">
        <color rgb="FFB7C9D4"/>
      </right>
      <top style="thin">
        <color rgb="FFB7C9D4"/>
      </top>
      <bottom style="thin">
        <color rgb="FFB7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4"/>
      <rgbColor rgb="FF808080"/>
      <rgbColor rgb="FF9999FF"/>
      <rgbColor rgb="FF993366"/>
      <rgbColor rgb="FFFFF2CC"/>
      <rgbColor rgb="FFCCFFFF"/>
      <rgbColor rgb="FF660066"/>
      <rgbColor rgb="FFFF8080"/>
      <rgbColor rgb="FF0B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11" min="9" style="0" width="12"/>
    <col collapsed="false" customWidth="true" hidden="false" outlineLevel="0" max="12" min="12" style="0" width="4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n">
        <v>10</v>
      </c>
      <c r="H2" s="3" t="n">
        <v>9</v>
      </c>
      <c r="I2" s="4" t="s">
        <v>18</v>
      </c>
      <c r="J2" s="5" t="s">
        <v>19</v>
      </c>
      <c r="K2" s="5" t="s">
        <v>20</v>
      </c>
      <c r="L2" s="2" t="s">
        <v>21</v>
      </c>
    </row>
    <row r="3" customFormat="false" ht="23.8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22</v>
      </c>
      <c r="E3" s="2" t="s">
        <v>23</v>
      </c>
      <c r="F3" s="2" t="s">
        <v>17</v>
      </c>
      <c r="G3" s="3" t="n">
        <v>6</v>
      </c>
      <c r="H3" s="3" t="n">
        <v>8</v>
      </c>
      <c r="I3" s="4" t="s">
        <v>18</v>
      </c>
      <c r="J3" s="5" t="s">
        <v>20</v>
      </c>
      <c r="K3" s="5" t="s">
        <v>24</v>
      </c>
      <c r="L3" s="2" t="s">
        <v>25</v>
      </c>
    </row>
    <row r="4" customFormat="false" ht="23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26</v>
      </c>
      <c r="E4" s="2" t="s">
        <v>27</v>
      </c>
      <c r="F4" s="2" t="s">
        <v>28</v>
      </c>
      <c r="G4" s="3" t="n">
        <v>12</v>
      </c>
      <c r="H4" s="3" t="n">
        <v>12</v>
      </c>
      <c r="I4" s="4" t="s">
        <v>18</v>
      </c>
      <c r="J4" s="5" t="s">
        <v>24</v>
      </c>
      <c r="K4" s="5" t="s">
        <v>29</v>
      </c>
      <c r="L4" s="2" t="s">
        <v>30</v>
      </c>
    </row>
    <row r="5" customFormat="false" ht="23.85" hidden="false" customHeight="false" outlineLevel="0" collapsed="false">
      <c r="A5" s="2" t="s">
        <v>12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28</v>
      </c>
      <c r="G5" s="3" t="n">
        <v>8</v>
      </c>
      <c r="H5" s="3" t="n">
        <v>8</v>
      </c>
      <c r="I5" s="4" t="s">
        <v>18</v>
      </c>
      <c r="J5" s="5" t="s">
        <v>29</v>
      </c>
      <c r="K5" s="5" t="s">
        <v>35</v>
      </c>
      <c r="L5" s="2"/>
    </row>
    <row r="6" customFormat="false" ht="23.85" hidden="false" customHeight="false" outlineLevel="0" collapsed="false">
      <c r="A6" s="2" t="s">
        <v>12</v>
      </c>
      <c r="B6" s="2" t="s">
        <v>31</v>
      </c>
      <c r="C6" s="2" t="s">
        <v>32</v>
      </c>
      <c r="D6" s="2" t="s">
        <v>36</v>
      </c>
      <c r="E6" s="2" t="s">
        <v>37</v>
      </c>
      <c r="F6" s="2" t="s">
        <v>38</v>
      </c>
      <c r="G6" s="3" t="n">
        <v>10</v>
      </c>
      <c r="H6" s="3" t="n">
        <v>11</v>
      </c>
      <c r="I6" s="4" t="s">
        <v>18</v>
      </c>
      <c r="J6" s="5" t="s">
        <v>35</v>
      </c>
      <c r="K6" s="5" t="s">
        <v>39</v>
      </c>
      <c r="L6" s="2" t="s">
        <v>40</v>
      </c>
    </row>
    <row r="7" customFormat="false" ht="23.85" hidden="false" customHeight="false" outlineLevel="0" collapsed="false">
      <c r="A7" s="2" t="s">
        <v>12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17</v>
      </c>
      <c r="G7" s="3" t="n">
        <v>10</v>
      </c>
      <c r="H7" s="3" t="n">
        <v>10</v>
      </c>
      <c r="I7" s="4" t="s">
        <v>18</v>
      </c>
      <c r="J7" s="5" t="s">
        <v>29</v>
      </c>
      <c r="K7" s="5" t="s">
        <v>35</v>
      </c>
      <c r="L7" s="2"/>
    </row>
    <row r="8" customFormat="false" ht="23.85" hidden="false" customHeight="false" outlineLevel="0" collapsed="false">
      <c r="A8" s="2" t="s">
        <v>12</v>
      </c>
      <c r="B8" s="2" t="s">
        <v>41</v>
      </c>
      <c r="C8" s="2" t="s">
        <v>42</v>
      </c>
      <c r="D8" s="2" t="s">
        <v>45</v>
      </c>
      <c r="E8" s="2" t="s">
        <v>46</v>
      </c>
      <c r="F8" s="2" t="s">
        <v>17</v>
      </c>
      <c r="G8" s="3" t="n">
        <v>8</v>
      </c>
      <c r="H8" s="3" t="n">
        <v>7</v>
      </c>
      <c r="I8" s="4" t="s">
        <v>18</v>
      </c>
      <c r="J8" s="5" t="s">
        <v>35</v>
      </c>
      <c r="K8" s="5" t="s">
        <v>39</v>
      </c>
      <c r="L8" s="2"/>
    </row>
    <row r="9" customFormat="false" ht="23.85" hidden="false" customHeight="false" outlineLevel="0" collapsed="false">
      <c r="A9" s="2" t="s">
        <v>12</v>
      </c>
      <c r="B9" s="2" t="s">
        <v>41</v>
      </c>
      <c r="C9" s="2" t="s">
        <v>42</v>
      </c>
      <c r="D9" s="2" t="s">
        <v>47</v>
      </c>
      <c r="E9" s="2" t="s">
        <v>48</v>
      </c>
      <c r="F9" s="2" t="s">
        <v>38</v>
      </c>
      <c r="G9" s="3" t="n">
        <v>10</v>
      </c>
      <c r="H9" s="3" t="n">
        <v>10</v>
      </c>
      <c r="I9" s="4" t="s">
        <v>18</v>
      </c>
      <c r="J9" s="5" t="s">
        <v>39</v>
      </c>
      <c r="K9" s="5" t="s">
        <v>49</v>
      </c>
      <c r="L9" s="2"/>
    </row>
    <row r="10" customFormat="false" ht="23.85" hidden="false" customHeight="false" outlineLevel="0" collapsed="false">
      <c r="A10" s="2" t="s">
        <v>12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28</v>
      </c>
      <c r="G10" s="3" t="n">
        <v>6</v>
      </c>
      <c r="H10" s="3" t="n">
        <v>6</v>
      </c>
      <c r="I10" s="4" t="s">
        <v>18</v>
      </c>
      <c r="J10" s="5" t="s">
        <v>39</v>
      </c>
      <c r="K10" s="5" t="s">
        <v>49</v>
      </c>
      <c r="L10" s="2"/>
    </row>
    <row r="11" customFormat="false" ht="23.85" hidden="false" customHeight="false" outlineLevel="0" collapsed="false">
      <c r="A11" s="2" t="s">
        <v>12</v>
      </c>
      <c r="B11" s="2" t="s">
        <v>50</v>
      </c>
      <c r="C11" s="2" t="s">
        <v>51</v>
      </c>
      <c r="D11" s="2" t="s">
        <v>54</v>
      </c>
      <c r="E11" s="2" t="s">
        <v>55</v>
      </c>
      <c r="F11" s="2" t="s">
        <v>56</v>
      </c>
      <c r="G11" s="3" t="n">
        <v>10</v>
      </c>
      <c r="H11" s="3" t="n">
        <v>12</v>
      </c>
      <c r="I11" s="4" t="s">
        <v>18</v>
      </c>
      <c r="J11" s="5" t="s">
        <v>49</v>
      </c>
      <c r="K11" s="5" t="s">
        <v>57</v>
      </c>
      <c r="L11" s="2" t="s">
        <v>58</v>
      </c>
    </row>
    <row r="12" customFormat="false" ht="23.85" hidden="false" customHeight="false" outlineLevel="0" collapsed="false">
      <c r="A12" s="2" t="s">
        <v>12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3" t="n">
        <v>4</v>
      </c>
      <c r="H12" s="3" t="n">
        <v>4</v>
      </c>
      <c r="I12" s="4" t="s">
        <v>18</v>
      </c>
      <c r="J12" s="5" t="s">
        <v>64</v>
      </c>
      <c r="K12" s="5" t="s">
        <v>57</v>
      </c>
      <c r="L12" s="2"/>
    </row>
    <row r="13" customFormat="false" ht="23.85" hidden="false" customHeight="false" outlineLevel="0" collapsed="false">
      <c r="A13" s="2" t="s">
        <v>12</v>
      </c>
      <c r="B13" s="2" t="s">
        <v>59</v>
      </c>
      <c r="C13" s="2" t="s">
        <v>60</v>
      </c>
      <c r="D13" s="2" t="s">
        <v>65</v>
      </c>
      <c r="E13" s="2" t="s">
        <v>66</v>
      </c>
      <c r="F13" s="2" t="s">
        <v>63</v>
      </c>
      <c r="G13" s="3" t="n">
        <v>6</v>
      </c>
      <c r="H13" s="3" t="n">
        <v>6</v>
      </c>
      <c r="I13" s="4" t="s">
        <v>18</v>
      </c>
      <c r="J13" s="5" t="s">
        <v>64</v>
      </c>
      <c r="K13" s="5" t="s">
        <v>57</v>
      </c>
      <c r="L13" s="2"/>
    </row>
    <row r="14" customFormat="false" ht="23.8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28</v>
      </c>
      <c r="G14" s="3" t="n">
        <v>10</v>
      </c>
      <c r="H14" s="3" t="n">
        <v>11</v>
      </c>
      <c r="I14" s="4" t="s">
        <v>18</v>
      </c>
      <c r="J14" s="5" t="s">
        <v>72</v>
      </c>
      <c r="K14" s="5" t="s">
        <v>73</v>
      </c>
      <c r="L14" s="2" t="s">
        <v>74</v>
      </c>
    </row>
    <row r="15" customFormat="false" ht="23.85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75</v>
      </c>
      <c r="E15" s="2" t="s">
        <v>76</v>
      </c>
      <c r="F15" s="2" t="s">
        <v>56</v>
      </c>
      <c r="G15" s="3" t="n">
        <v>8</v>
      </c>
      <c r="H15" s="3" t="n">
        <v>8</v>
      </c>
      <c r="I15" s="4" t="s">
        <v>18</v>
      </c>
      <c r="J15" s="5" t="s">
        <v>73</v>
      </c>
      <c r="K15" s="5" t="s">
        <v>77</v>
      </c>
      <c r="L15" s="2"/>
    </row>
    <row r="16" customFormat="false" ht="23.8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17</v>
      </c>
      <c r="G16" s="3" t="n">
        <v>10</v>
      </c>
      <c r="H16" s="3" t="n">
        <v>10</v>
      </c>
      <c r="I16" s="4" t="s">
        <v>18</v>
      </c>
      <c r="J16" s="5" t="s">
        <v>72</v>
      </c>
      <c r="K16" s="5" t="s">
        <v>77</v>
      </c>
      <c r="L16" s="2" t="s">
        <v>82</v>
      </c>
    </row>
    <row r="17" customFormat="false" ht="23.85" hidden="false" customHeight="false" outlineLevel="0" collapsed="false">
      <c r="A17" s="2" t="s">
        <v>67</v>
      </c>
      <c r="B17" s="2" t="s">
        <v>78</v>
      </c>
      <c r="C17" s="2" t="s">
        <v>79</v>
      </c>
      <c r="D17" s="2" t="s">
        <v>83</v>
      </c>
      <c r="E17" s="2" t="s">
        <v>84</v>
      </c>
      <c r="F17" s="2" t="s">
        <v>17</v>
      </c>
      <c r="G17" s="3" t="n">
        <v>8</v>
      </c>
      <c r="H17" s="3" t="n">
        <v>9</v>
      </c>
      <c r="I17" s="4" t="s">
        <v>18</v>
      </c>
      <c r="J17" s="5" t="s">
        <v>77</v>
      </c>
      <c r="K17" s="5" t="s">
        <v>85</v>
      </c>
      <c r="L17" s="2"/>
    </row>
    <row r="18" customFormat="false" ht="23.85" hidden="false" customHeight="false" outlineLevel="0" collapsed="false">
      <c r="A18" s="2" t="s">
        <v>67</v>
      </c>
      <c r="B18" s="2" t="s">
        <v>78</v>
      </c>
      <c r="C18" s="2" t="s">
        <v>79</v>
      </c>
      <c r="D18" s="2" t="s">
        <v>86</v>
      </c>
      <c r="E18" s="2" t="s">
        <v>87</v>
      </c>
      <c r="F18" s="2" t="s">
        <v>63</v>
      </c>
      <c r="G18" s="3" t="n">
        <v>8</v>
      </c>
      <c r="H18" s="3" t="n">
        <v>10</v>
      </c>
      <c r="I18" s="4" t="s">
        <v>18</v>
      </c>
      <c r="J18" s="5" t="s">
        <v>85</v>
      </c>
      <c r="K18" s="5" t="s">
        <v>88</v>
      </c>
      <c r="L18" s="2" t="s">
        <v>89</v>
      </c>
    </row>
    <row r="19" customFormat="false" ht="23.85" hidden="false" customHeight="false" outlineLevel="0" collapsed="false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28</v>
      </c>
      <c r="G19" s="3" t="n">
        <v>8</v>
      </c>
      <c r="H19" s="3" t="n">
        <v>8</v>
      </c>
      <c r="I19" s="4" t="s">
        <v>18</v>
      </c>
      <c r="J19" s="5" t="s">
        <v>73</v>
      </c>
      <c r="K19" s="5" t="s">
        <v>85</v>
      </c>
      <c r="L19" s="2"/>
    </row>
    <row r="20" customFormat="false" ht="23.85" hidden="false" customHeight="false" outlineLevel="0" collapsed="false">
      <c r="A20" s="2" t="s">
        <v>67</v>
      </c>
      <c r="B20" s="2" t="s">
        <v>90</v>
      </c>
      <c r="C20" s="2" t="s">
        <v>91</v>
      </c>
      <c r="D20" s="2" t="s">
        <v>94</v>
      </c>
      <c r="E20" s="2" t="s">
        <v>95</v>
      </c>
      <c r="F20" s="2" t="s">
        <v>56</v>
      </c>
      <c r="G20" s="3" t="n">
        <v>10</v>
      </c>
      <c r="H20" s="3" t="n">
        <v>10</v>
      </c>
      <c r="I20" s="4" t="s">
        <v>18</v>
      </c>
      <c r="J20" s="5" t="s">
        <v>85</v>
      </c>
      <c r="K20" s="5" t="s">
        <v>88</v>
      </c>
      <c r="L20" s="2"/>
    </row>
    <row r="21" customFormat="false" ht="23.85" hidden="false" customHeight="false" outlineLevel="0" collapsed="false">
      <c r="A21" s="2" t="s">
        <v>67</v>
      </c>
      <c r="B21" s="2" t="s">
        <v>90</v>
      </c>
      <c r="C21" s="2" t="s">
        <v>91</v>
      </c>
      <c r="D21" s="2" t="s">
        <v>96</v>
      </c>
      <c r="E21" s="2" t="s">
        <v>97</v>
      </c>
      <c r="F21" s="2" t="s">
        <v>38</v>
      </c>
      <c r="G21" s="3" t="n">
        <v>10</v>
      </c>
      <c r="H21" s="3" t="n">
        <v>10</v>
      </c>
      <c r="I21" s="4" t="s">
        <v>18</v>
      </c>
      <c r="J21" s="5" t="s">
        <v>88</v>
      </c>
      <c r="K21" s="5" t="s">
        <v>98</v>
      </c>
      <c r="L21" s="2"/>
    </row>
    <row r="22" customFormat="false" ht="23.85" hidden="false" customHeight="false" outlineLevel="0" collapsed="false">
      <c r="A22" s="2" t="s">
        <v>67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17</v>
      </c>
      <c r="G22" s="3" t="n">
        <v>6</v>
      </c>
      <c r="H22" s="3" t="n">
        <v>6</v>
      </c>
      <c r="I22" s="4" t="s">
        <v>18</v>
      </c>
      <c r="J22" s="5" t="s">
        <v>98</v>
      </c>
      <c r="K22" s="5" t="s">
        <v>103</v>
      </c>
      <c r="L22" s="2"/>
    </row>
    <row r="23" customFormat="false" ht="23.85" hidden="false" customHeight="false" outlineLevel="0" collapsed="false">
      <c r="A23" s="2" t="s">
        <v>67</v>
      </c>
      <c r="B23" s="2" t="s">
        <v>99</v>
      </c>
      <c r="C23" s="2" t="s">
        <v>100</v>
      </c>
      <c r="D23" s="2" t="s">
        <v>104</v>
      </c>
      <c r="E23" s="2" t="s">
        <v>105</v>
      </c>
      <c r="F23" s="2" t="s">
        <v>17</v>
      </c>
      <c r="G23" s="3" t="n">
        <v>10</v>
      </c>
      <c r="H23" s="3" t="n">
        <v>12</v>
      </c>
      <c r="I23" s="4" t="s">
        <v>18</v>
      </c>
      <c r="J23" s="5" t="s">
        <v>103</v>
      </c>
      <c r="K23" s="5" t="s">
        <v>106</v>
      </c>
      <c r="L23" s="2" t="s">
        <v>107</v>
      </c>
    </row>
    <row r="24" customFormat="false" ht="23.85" hidden="false" customHeight="false" outlineLevel="0" collapsed="false">
      <c r="A24" s="2" t="s">
        <v>67</v>
      </c>
      <c r="B24" s="2" t="s">
        <v>99</v>
      </c>
      <c r="C24" s="2" t="s">
        <v>100</v>
      </c>
      <c r="D24" s="2" t="s">
        <v>108</v>
      </c>
      <c r="E24" s="2" t="s">
        <v>109</v>
      </c>
      <c r="F24" s="2" t="s">
        <v>56</v>
      </c>
      <c r="G24" s="3" t="n">
        <v>10</v>
      </c>
      <c r="H24" s="3" t="n">
        <v>10</v>
      </c>
      <c r="I24" s="4" t="s">
        <v>18</v>
      </c>
      <c r="J24" s="5" t="s">
        <v>106</v>
      </c>
      <c r="K24" s="5" t="s">
        <v>110</v>
      </c>
      <c r="L24" s="2"/>
    </row>
    <row r="25" customFormat="false" ht="23.85" hidden="false" customHeight="false" outlineLevel="0" collapsed="false">
      <c r="A25" s="2" t="s">
        <v>67</v>
      </c>
      <c r="B25" s="2" t="s">
        <v>99</v>
      </c>
      <c r="C25" s="2" t="s">
        <v>100</v>
      </c>
      <c r="D25" s="2" t="s">
        <v>111</v>
      </c>
      <c r="E25" s="2" t="s">
        <v>112</v>
      </c>
      <c r="F25" s="2" t="s">
        <v>38</v>
      </c>
      <c r="G25" s="3" t="n">
        <v>8</v>
      </c>
      <c r="H25" s="3" t="n">
        <v>9</v>
      </c>
      <c r="I25" s="4" t="s">
        <v>18</v>
      </c>
      <c r="J25" s="5" t="s">
        <v>110</v>
      </c>
      <c r="K25" s="5" t="s">
        <v>113</v>
      </c>
      <c r="L25" s="2" t="s">
        <v>114</v>
      </c>
    </row>
    <row r="26" customFormat="false" ht="23.85" hidden="false" customHeight="false" outlineLevel="0" collapsed="false">
      <c r="A26" s="2" t="s">
        <v>67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s">
        <v>28</v>
      </c>
      <c r="G26" s="3" t="n">
        <v>8</v>
      </c>
      <c r="H26" s="3" t="n">
        <v>8</v>
      </c>
      <c r="I26" s="4" t="s">
        <v>18</v>
      </c>
      <c r="J26" s="5" t="s">
        <v>110</v>
      </c>
      <c r="K26" s="5" t="s">
        <v>113</v>
      </c>
      <c r="L26" s="2"/>
    </row>
    <row r="27" customFormat="false" ht="23.85" hidden="false" customHeight="false" outlineLevel="0" collapsed="false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s">
        <v>28</v>
      </c>
      <c r="G27" s="3" t="n">
        <v>8</v>
      </c>
      <c r="H27" s="3" t="n">
        <v>8</v>
      </c>
      <c r="I27" s="4" t="s">
        <v>18</v>
      </c>
      <c r="J27" s="5" t="s">
        <v>124</v>
      </c>
      <c r="K27" s="5" t="s">
        <v>125</v>
      </c>
      <c r="L27" s="2"/>
    </row>
    <row r="28" customFormat="false" ht="23.85" hidden="false" customHeight="false" outlineLevel="0" collapsed="false">
      <c r="A28" s="2" t="s">
        <v>119</v>
      </c>
      <c r="B28" s="2" t="s">
        <v>120</v>
      </c>
      <c r="C28" s="2" t="s">
        <v>121</v>
      </c>
      <c r="D28" s="2" t="s">
        <v>126</v>
      </c>
      <c r="E28" s="2" t="s">
        <v>127</v>
      </c>
      <c r="F28" s="2" t="s">
        <v>38</v>
      </c>
      <c r="G28" s="3" t="n">
        <v>10</v>
      </c>
      <c r="H28" s="3" t="n">
        <v>10</v>
      </c>
      <c r="I28" s="4" t="s">
        <v>18</v>
      </c>
      <c r="J28" s="5" t="s">
        <v>125</v>
      </c>
      <c r="K28" s="5" t="s">
        <v>128</v>
      </c>
      <c r="L28" s="2"/>
    </row>
    <row r="29" customFormat="false" ht="23.85" hidden="false" customHeight="false" outlineLevel="0" collapsed="false">
      <c r="A29" s="2" t="s">
        <v>119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s">
        <v>17</v>
      </c>
      <c r="G29" s="3" t="n">
        <v>12</v>
      </c>
      <c r="H29" s="3" t="n">
        <v>12</v>
      </c>
      <c r="I29" s="4" t="s">
        <v>18</v>
      </c>
      <c r="J29" s="5" t="s">
        <v>124</v>
      </c>
      <c r="K29" s="5" t="s">
        <v>128</v>
      </c>
      <c r="L29" s="2"/>
    </row>
    <row r="30" customFormat="false" ht="23.85" hidden="false" customHeight="false" outlineLevel="0" collapsed="false">
      <c r="A30" s="2" t="s">
        <v>119</v>
      </c>
      <c r="B30" s="2" t="s">
        <v>129</v>
      </c>
      <c r="C30" s="2" t="s">
        <v>130</v>
      </c>
      <c r="D30" s="2" t="s">
        <v>133</v>
      </c>
      <c r="E30" s="2" t="s">
        <v>134</v>
      </c>
      <c r="F30" s="2" t="s">
        <v>38</v>
      </c>
      <c r="G30" s="3" t="n">
        <v>14</v>
      </c>
      <c r="H30" s="3" t="n">
        <v>15</v>
      </c>
      <c r="I30" s="4" t="s">
        <v>18</v>
      </c>
      <c r="J30" s="5" t="s">
        <v>128</v>
      </c>
      <c r="K30" s="5" t="s">
        <v>135</v>
      </c>
      <c r="L30" s="2"/>
    </row>
    <row r="31" customFormat="false" ht="23.85" hidden="false" customHeight="false" outlineLevel="0" collapsed="false">
      <c r="A31" s="2" t="s">
        <v>119</v>
      </c>
      <c r="B31" s="2" t="s">
        <v>129</v>
      </c>
      <c r="C31" s="2" t="s">
        <v>130</v>
      </c>
      <c r="D31" s="2" t="s">
        <v>136</v>
      </c>
      <c r="E31" s="2" t="s">
        <v>137</v>
      </c>
      <c r="F31" s="2" t="s">
        <v>56</v>
      </c>
      <c r="G31" s="3" t="n">
        <v>4</v>
      </c>
      <c r="H31" s="3" t="n">
        <v>4</v>
      </c>
      <c r="I31" s="4" t="s">
        <v>18</v>
      </c>
      <c r="J31" s="5" t="s">
        <v>135</v>
      </c>
      <c r="K31" s="5" t="s">
        <v>135</v>
      </c>
      <c r="L31" s="2"/>
    </row>
    <row r="32" customFormat="false" ht="23.85" hidden="false" customHeight="false" outlineLevel="0" collapsed="false">
      <c r="A32" s="2" t="s">
        <v>119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s">
        <v>56</v>
      </c>
      <c r="G32" s="3" t="n">
        <v>10</v>
      </c>
      <c r="H32" s="3" t="n">
        <v>10</v>
      </c>
      <c r="I32" s="4" t="s">
        <v>18</v>
      </c>
      <c r="J32" s="5" t="s">
        <v>135</v>
      </c>
      <c r="K32" s="5" t="s">
        <v>142</v>
      </c>
      <c r="L32" s="2"/>
    </row>
    <row r="33" customFormat="false" ht="23.85" hidden="false" customHeight="false" outlineLevel="0" collapsed="false">
      <c r="A33" s="2" t="s">
        <v>119</v>
      </c>
      <c r="B33" s="2" t="s">
        <v>138</v>
      </c>
      <c r="C33" s="2" t="s">
        <v>139</v>
      </c>
      <c r="D33" s="2" t="s">
        <v>143</v>
      </c>
      <c r="E33" s="2" t="s">
        <v>144</v>
      </c>
      <c r="F33" s="2" t="s">
        <v>17</v>
      </c>
      <c r="G33" s="3" t="n">
        <v>8</v>
      </c>
      <c r="H33" s="3" t="n">
        <v>8</v>
      </c>
      <c r="I33" s="4" t="s">
        <v>18</v>
      </c>
      <c r="J33" s="5" t="s">
        <v>142</v>
      </c>
      <c r="K33" s="5" t="s">
        <v>145</v>
      </c>
      <c r="L33" s="2"/>
    </row>
    <row r="34" customFormat="false" ht="23.85" hidden="false" customHeight="false" outlineLevel="0" collapsed="false">
      <c r="A34" s="2" t="s">
        <v>119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s">
        <v>28</v>
      </c>
      <c r="G34" s="3" t="n">
        <v>8</v>
      </c>
      <c r="H34" s="3" t="n">
        <v>9</v>
      </c>
      <c r="I34" s="4" t="s">
        <v>18</v>
      </c>
      <c r="J34" s="5" t="s">
        <v>142</v>
      </c>
      <c r="K34" s="5" t="s">
        <v>145</v>
      </c>
      <c r="L34" s="2" t="s">
        <v>150</v>
      </c>
    </row>
    <row r="35" customFormat="false" ht="23.85" hidden="false" customHeight="false" outlineLevel="0" collapsed="false">
      <c r="A35" s="2" t="s">
        <v>119</v>
      </c>
      <c r="B35" s="2" t="s">
        <v>146</v>
      </c>
      <c r="C35" s="2" t="s">
        <v>147</v>
      </c>
      <c r="D35" s="2" t="s">
        <v>151</v>
      </c>
      <c r="E35" s="2" t="s">
        <v>152</v>
      </c>
      <c r="F35" s="2" t="s">
        <v>56</v>
      </c>
      <c r="G35" s="3" t="n">
        <v>6</v>
      </c>
      <c r="H35" s="3" t="n">
        <v>6</v>
      </c>
      <c r="I35" s="4" t="s">
        <v>18</v>
      </c>
      <c r="J35" s="5" t="s">
        <v>145</v>
      </c>
      <c r="K35" s="5" t="s">
        <v>153</v>
      </c>
      <c r="L35" s="2"/>
    </row>
    <row r="36" customFormat="false" ht="23.85" hidden="false" customHeight="false" outlineLevel="0" collapsed="false">
      <c r="A36" s="2" t="s">
        <v>119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s">
        <v>17</v>
      </c>
      <c r="G36" s="3" t="n">
        <v>6</v>
      </c>
      <c r="H36" s="3" t="n">
        <v>6</v>
      </c>
      <c r="I36" s="4" t="s">
        <v>18</v>
      </c>
      <c r="J36" s="5" t="s">
        <v>128</v>
      </c>
      <c r="K36" s="5" t="s">
        <v>158</v>
      </c>
      <c r="L36" s="2"/>
    </row>
    <row r="37" customFormat="false" ht="23.85" hidden="false" customHeight="false" outlineLevel="0" collapsed="false">
      <c r="A37" s="2" t="s">
        <v>119</v>
      </c>
      <c r="B37" s="2" t="s">
        <v>154</v>
      </c>
      <c r="C37" s="2" t="s">
        <v>155</v>
      </c>
      <c r="D37" s="2" t="s">
        <v>159</v>
      </c>
      <c r="E37" s="2" t="s">
        <v>160</v>
      </c>
      <c r="F37" s="2" t="s">
        <v>38</v>
      </c>
      <c r="G37" s="3" t="n">
        <v>6</v>
      </c>
      <c r="H37" s="3" t="n">
        <v>6</v>
      </c>
      <c r="I37" s="4" t="s">
        <v>18</v>
      </c>
      <c r="J37" s="5" t="s">
        <v>158</v>
      </c>
      <c r="K37" s="5" t="s">
        <v>135</v>
      </c>
      <c r="L37" s="2"/>
    </row>
    <row r="38" customFormat="false" ht="23.85" hidden="false" customHeight="false" outlineLevel="0" collapsed="false">
      <c r="A38" s="2" t="s">
        <v>119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s">
        <v>56</v>
      </c>
      <c r="G38" s="3" t="n">
        <v>10</v>
      </c>
      <c r="H38" s="3" t="n">
        <v>11</v>
      </c>
      <c r="I38" s="4" t="s">
        <v>18</v>
      </c>
      <c r="J38" s="5" t="s">
        <v>153</v>
      </c>
      <c r="K38" s="5" t="s">
        <v>165</v>
      </c>
      <c r="L38" s="2" t="s">
        <v>166</v>
      </c>
    </row>
    <row r="39" customFormat="false" ht="23.85" hidden="false" customHeight="false" outlineLevel="0" collapsed="false">
      <c r="A39" s="2" t="s">
        <v>119</v>
      </c>
      <c r="B39" s="2" t="s">
        <v>161</v>
      </c>
      <c r="C39" s="2" t="s">
        <v>162</v>
      </c>
      <c r="D39" s="2" t="s">
        <v>167</v>
      </c>
      <c r="E39" s="2" t="s">
        <v>168</v>
      </c>
      <c r="F39" s="2" t="s">
        <v>63</v>
      </c>
      <c r="G39" s="3" t="n">
        <v>6</v>
      </c>
      <c r="H39" s="3" t="n">
        <v>6</v>
      </c>
      <c r="I39" s="4" t="s">
        <v>18</v>
      </c>
      <c r="J39" s="5" t="s">
        <v>165</v>
      </c>
      <c r="K39" s="5" t="s">
        <v>169</v>
      </c>
      <c r="L39" s="2"/>
    </row>
    <row r="40" customFormat="false" ht="23.85" hidden="false" customHeight="false" outlineLevel="0" collapsed="false">
      <c r="A40" s="2" t="s">
        <v>119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s">
        <v>63</v>
      </c>
      <c r="G40" s="3" t="n">
        <v>8</v>
      </c>
      <c r="H40" s="3" t="n">
        <v>8</v>
      </c>
      <c r="I40" s="4" t="s">
        <v>18</v>
      </c>
      <c r="J40" s="5" t="s">
        <v>165</v>
      </c>
      <c r="K40" s="5" t="s">
        <v>169</v>
      </c>
      <c r="L40" s="2"/>
    </row>
    <row r="41" customFormat="false" ht="23.85" hidden="false" customHeight="false" outlineLevel="0" collapsed="false">
      <c r="A41" s="2" t="s">
        <v>119</v>
      </c>
      <c r="B41" s="2" t="s">
        <v>170</v>
      </c>
      <c r="C41" s="2" t="s">
        <v>171</v>
      </c>
      <c r="D41" s="2" t="s">
        <v>174</v>
      </c>
      <c r="E41" s="2" t="s">
        <v>175</v>
      </c>
      <c r="F41" s="2" t="s">
        <v>176</v>
      </c>
      <c r="G41" s="3" t="n">
        <v>8</v>
      </c>
      <c r="H41" s="3" t="n">
        <v>8</v>
      </c>
      <c r="I41" s="4" t="s">
        <v>18</v>
      </c>
      <c r="J41" s="5" t="s">
        <v>165</v>
      </c>
      <c r="K41" s="5" t="s">
        <v>169</v>
      </c>
      <c r="L41" s="2" t="s">
        <v>177</v>
      </c>
    </row>
    <row r="43" customFormat="false" ht="15" hidden="false" customHeight="false" outlineLevel="0" collapsed="false">
      <c r="F43" s="6" t="s">
        <v>178</v>
      </c>
      <c r="G43" s="6" t="n">
        <f aca="false">SUM(G2:G41)</f>
        <v>338</v>
      </c>
      <c r="H43" s="6" t="n">
        <f aca="false">SUM(H2:H41)</f>
        <v>351</v>
      </c>
    </row>
    <row r="45" customFormat="false" ht="15" hidden="false" customHeight="false" outlineLevel="0" collapsed="false">
      <c r="A45" s="7" t="s">
        <v>179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30" hidden="false" customHeight="true" outlineLevel="0" collapsed="false">
      <c r="A1" s="1" t="s">
        <v>180</v>
      </c>
      <c r="B1" s="1" t="s">
        <v>181</v>
      </c>
      <c r="C1" s="1" t="s">
        <v>9</v>
      </c>
      <c r="D1" s="1" t="s">
        <v>10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</v>
      </c>
      <c r="J1" s="1" t="s">
        <v>186</v>
      </c>
      <c r="K1" s="1" t="s">
        <v>187</v>
      </c>
    </row>
    <row r="2" customFormat="false" ht="15" hidden="false" customHeight="false" outlineLevel="0" collapsed="false">
      <c r="A2" s="8" t="s">
        <v>188</v>
      </c>
      <c r="B2" s="8" t="s">
        <v>189</v>
      </c>
      <c r="C2" s="8" t="s">
        <v>19</v>
      </c>
      <c r="D2" s="8" t="s">
        <v>57</v>
      </c>
      <c r="E2" s="8" t="n">
        <v>10</v>
      </c>
      <c r="F2" s="8" t="n">
        <f aca="false">COUNTIFS('Sprint Backlog'!$A$2:$A$41,$A2&amp;" / "&amp;$B2)</f>
        <v>12</v>
      </c>
      <c r="G2" s="8" t="n">
        <f aca="false">SUMIFS('Sprint Backlog'!$G$2:$G$41,'Sprint Backlog'!$A$2:$A$41,$A2&amp;" / "&amp;$B2)</f>
        <v>100</v>
      </c>
      <c r="H2" s="8" t="n">
        <f aca="false">SUMIFS('Sprint Backlog'!$H$2:$H$41,'Sprint Backlog'!$A$2:$A$41,$A2&amp;" / "&amp;$B2)</f>
        <v>103</v>
      </c>
      <c r="I2" s="8" t="n">
        <f aca="false">COUNTIFS('Sprint Backlog'!$A$2:$A$41,$A2&amp;" / "&amp;$B2,'Sprint Backlog'!$I$2:$I$41,"Done")</f>
        <v>12</v>
      </c>
      <c r="J2" s="8" t="n">
        <f aca="false">H2-G2</f>
        <v>3</v>
      </c>
      <c r="K2" s="9" t="n">
        <f aca="false">IF($E2=0,0,H2/$E2)</f>
        <v>10.3</v>
      </c>
    </row>
    <row r="3" customFormat="false" ht="15" hidden="false" customHeight="false" outlineLevel="0" collapsed="false">
      <c r="A3" s="8" t="s">
        <v>190</v>
      </c>
      <c r="B3" s="8" t="s">
        <v>191</v>
      </c>
      <c r="C3" s="8" t="s">
        <v>72</v>
      </c>
      <c r="D3" s="8" t="s">
        <v>113</v>
      </c>
      <c r="E3" s="8" t="n">
        <v>10</v>
      </c>
      <c r="F3" s="8" t="n">
        <f aca="false">COUNTIFS('Sprint Backlog'!$A$2:$A$41,$A3&amp;" / "&amp;$B3)</f>
        <v>13</v>
      </c>
      <c r="G3" s="8" t="n">
        <f aca="false">SUMIFS('Sprint Backlog'!$G$2:$G$41,'Sprint Backlog'!$A$2:$A$41,$A3&amp;" / "&amp;$B3)</f>
        <v>114</v>
      </c>
      <c r="H3" s="8" t="n">
        <f aca="false">SUMIFS('Sprint Backlog'!$H$2:$H$41,'Sprint Backlog'!$A$2:$A$41,$A3&amp;" / "&amp;$B3)</f>
        <v>121</v>
      </c>
      <c r="I3" s="8" t="n">
        <f aca="false">COUNTIFS('Sprint Backlog'!$A$2:$A$41,$A3&amp;" / "&amp;$B3,'Sprint Backlog'!$I$2:$I$41,"Done")</f>
        <v>13</v>
      </c>
      <c r="J3" s="8" t="n">
        <f aca="false">H3-G3</f>
        <v>7</v>
      </c>
      <c r="K3" s="9" t="n">
        <f aca="false">IF($E3=0,0,H3/$E3)</f>
        <v>12.1</v>
      </c>
    </row>
    <row r="4" customFormat="false" ht="15" hidden="false" customHeight="false" outlineLevel="0" collapsed="false">
      <c r="A4" s="8" t="s">
        <v>192</v>
      </c>
      <c r="B4" s="8" t="s">
        <v>193</v>
      </c>
      <c r="C4" s="8" t="s">
        <v>124</v>
      </c>
      <c r="D4" s="8" t="s">
        <v>169</v>
      </c>
      <c r="E4" s="8" t="n">
        <v>10</v>
      </c>
      <c r="F4" s="8" t="n">
        <f aca="false">COUNTIFS('Sprint Backlog'!$A$2:$A$41,$A4&amp;" / "&amp;$B4)</f>
        <v>15</v>
      </c>
      <c r="G4" s="8" t="n">
        <f aca="false">SUMIFS('Sprint Backlog'!$G$2:$G$41,'Sprint Backlog'!$A$2:$A$41,$A4&amp;" / "&amp;$B4)</f>
        <v>124</v>
      </c>
      <c r="H4" s="8" t="n">
        <f aca="false">SUMIFS('Sprint Backlog'!$H$2:$H$41,'Sprint Backlog'!$A$2:$A$41,$A4&amp;" / "&amp;$B4)</f>
        <v>127</v>
      </c>
      <c r="I4" s="8" t="n">
        <f aca="false">COUNTIFS('Sprint Backlog'!$A$2:$A$41,$A4&amp;" / "&amp;$B4,'Sprint Backlog'!$I$2:$I$41,"Done")</f>
        <v>15</v>
      </c>
      <c r="J4" s="8" t="n">
        <f aca="false">H4-G4</f>
        <v>3</v>
      </c>
      <c r="K4" s="9" t="n">
        <f aca="false">IF($E4=0,0,H4/$E4)</f>
        <v>12.7</v>
      </c>
    </row>
    <row r="5" customFormat="false" ht="15" hidden="false" customHeight="false" outlineLevel="0" collapsed="false">
      <c r="B5" s="6" t="s">
        <v>178</v>
      </c>
      <c r="F5" s="6" t="n">
        <f aca="false">SUM(F2:F4)</f>
        <v>40</v>
      </c>
      <c r="G5" s="6" t="n">
        <f aca="false">SUM(G2:G4)</f>
        <v>338</v>
      </c>
      <c r="H5" s="6" t="n">
        <f aca="false">SUM(H2:H4)</f>
        <v>351</v>
      </c>
      <c r="I5" s="6" t="n">
        <f aca="false">SUM(I2:I4)</f>
        <v>40</v>
      </c>
      <c r="J5" s="6" t="n">
        <f aca="false">H5-G5</f>
        <v>13</v>
      </c>
    </row>
    <row r="7" customFormat="false" ht="15" hidden="false" customHeight="false" outlineLevel="0" collapsed="false">
      <c r="A7" s="7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2026-08-23T08:29:57Z</dcterms:created>
  <dc:creator>openpyxl</dc:creator>
  <dc:description/>
  <dc:language>en-US</dc:language>
  <cp:lastModifiedBy/>
  <dcterms:modified xsi:type="dcterms:W3CDTF">2026-08-23T08:29:57Z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